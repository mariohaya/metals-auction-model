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4535636cde466b/Desktop/"/>
    </mc:Choice>
  </mc:AlternateContent>
  <xr:revisionPtr revIDLastSave="1424" documentId="8_{6611C034-45FD-4F13-A8BE-4CF0D75F2C27}" xr6:coauthVersionLast="47" xr6:coauthVersionMax="47" xr10:uidLastSave="{C797BCA2-2AAF-4EBD-8E6A-333A146FF88F}"/>
  <bookViews>
    <workbookView xWindow="-120" yWindow="-120" windowWidth="29040" windowHeight="15720" xr2:uid="{E41A96B6-6FFB-474D-8DDF-FB28F0BD5F3A}"/>
  </bookViews>
  <sheets>
    <sheet name="Puja Máxima" sheetId="2" r:id="rId1"/>
    <sheet name="COP oro historial" sheetId="4" r:id="rId2"/>
    <sheet name="Montecarlo" sheetId="5" r:id="rId3"/>
    <sheet name="Sheet2" sheetId="6" r:id="rId4"/>
  </sheets>
  <definedNames>
    <definedName name="ExternalData_1" localSheetId="1" hidden="1">'COP oro historial'!#REF!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7" i="2" l="1" a="1"/>
  <c r="K8" i="2" s="1"/>
  <c r="H3" i="6"/>
  <c r="J2" i="6"/>
  <c r="H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J3" i="5"/>
  <c r="J4" i="5"/>
  <c r="J6" i="5"/>
  <c r="J7" i="5"/>
  <c r="J8" i="5"/>
  <c r="J9" i="5"/>
  <c r="J11" i="5"/>
  <c r="J12" i="5"/>
  <c r="J13" i="5"/>
  <c r="J14" i="5"/>
  <c r="J16" i="5"/>
  <c r="K16" i="5" s="1"/>
  <c r="J17" i="5"/>
  <c r="K17" i="5" s="1"/>
  <c r="J18" i="5"/>
  <c r="K18" i="5" s="1"/>
  <c r="J19" i="5"/>
  <c r="K19" i="5" s="1"/>
  <c r="J21" i="5"/>
  <c r="K21" i="5" s="1"/>
  <c r="J22" i="5"/>
  <c r="K22" i="5" s="1"/>
  <c r="J23" i="5"/>
  <c r="K23" i="5" s="1"/>
  <c r="J24" i="5"/>
  <c r="K24" i="5" s="1"/>
  <c r="J26" i="5"/>
  <c r="K26" i="5" s="1"/>
  <c r="J27" i="5"/>
  <c r="K27" i="5" s="1"/>
  <c r="J28" i="5"/>
  <c r="K28" i="5" s="1"/>
  <c r="J29" i="5"/>
  <c r="K29" i="5" s="1"/>
  <c r="J31" i="5"/>
  <c r="K31" i="5" s="1"/>
  <c r="J32" i="5"/>
  <c r="K32" i="5" s="1"/>
  <c r="J33" i="5"/>
  <c r="K33" i="5" s="1"/>
  <c r="J35" i="5"/>
  <c r="K35" i="5" s="1"/>
  <c r="J36" i="5"/>
  <c r="K36" i="5" s="1"/>
  <c r="J37" i="5"/>
  <c r="K37" i="5" s="1"/>
  <c r="J38" i="5"/>
  <c r="K38" i="5" s="1"/>
  <c r="J40" i="5"/>
  <c r="K40" i="5" s="1"/>
  <c r="J41" i="5"/>
  <c r="K41" i="5" s="1"/>
  <c r="J42" i="5"/>
  <c r="K42" i="5" s="1"/>
  <c r="J43" i="5"/>
  <c r="K43" i="5" s="1"/>
  <c r="J45" i="5"/>
  <c r="K45" i="5" s="1"/>
  <c r="J46" i="5"/>
  <c r="K46" i="5" s="1"/>
  <c r="J47" i="5"/>
  <c r="K47" i="5" s="1"/>
  <c r="J49" i="5"/>
  <c r="K49" i="5" s="1"/>
  <c r="J50" i="5"/>
  <c r="K50" i="5" s="1"/>
  <c r="J51" i="5"/>
  <c r="K51" i="5" s="1"/>
  <c r="J53" i="5"/>
  <c r="K53" i="5" s="1"/>
  <c r="J54" i="5"/>
  <c r="K54" i="5" s="1"/>
  <c r="J55" i="5"/>
  <c r="K55" i="5" s="1"/>
  <c r="J56" i="5"/>
  <c r="K56" i="5" s="1"/>
  <c r="J58" i="5"/>
  <c r="K58" i="5" s="1"/>
  <c r="J59" i="5"/>
  <c r="K59" i="5" s="1"/>
  <c r="J62" i="5"/>
  <c r="K62" i="5" s="1"/>
  <c r="J63" i="5"/>
  <c r="K63" i="5" s="1"/>
  <c r="J64" i="5"/>
  <c r="K64" i="5" s="1"/>
  <c r="J65" i="5"/>
  <c r="K65" i="5" s="1"/>
  <c r="J67" i="5"/>
  <c r="K67" i="5" s="1"/>
  <c r="J68" i="5"/>
  <c r="K68" i="5" s="1"/>
  <c r="J69" i="5"/>
  <c r="K69" i="5" s="1"/>
  <c r="J70" i="5"/>
  <c r="K70" i="5" s="1"/>
  <c r="J72" i="5"/>
  <c r="K72" i="5" s="1"/>
  <c r="J73" i="5"/>
  <c r="K73" i="5" s="1"/>
  <c r="J74" i="5"/>
  <c r="K74" i="5" s="1"/>
  <c r="J75" i="5"/>
  <c r="K75" i="5" s="1"/>
  <c r="J77" i="5"/>
  <c r="K77" i="5" s="1"/>
  <c r="J79" i="5"/>
  <c r="K79" i="5" s="1"/>
  <c r="J81" i="5"/>
  <c r="K81" i="5" s="1"/>
  <c r="J82" i="5"/>
  <c r="K82" i="5" s="1"/>
  <c r="J84" i="5"/>
  <c r="K84" i="5" s="1"/>
  <c r="J85" i="5"/>
  <c r="K85" i="5" s="1"/>
  <c r="J86" i="5"/>
  <c r="K86" i="5" s="1"/>
  <c r="J88" i="5"/>
  <c r="K88" i="5" s="1"/>
  <c r="J89" i="5"/>
  <c r="K89" i="5" s="1"/>
  <c r="J90" i="5"/>
  <c r="K90" i="5" s="1"/>
  <c r="J91" i="5"/>
  <c r="K91" i="5" s="1"/>
  <c r="J93" i="5"/>
  <c r="K93" i="5" s="1"/>
  <c r="J94" i="5"/>
  <c r="K94" i="5" s="1"/>
  <c r="J95" i="5"/>
  <c r="K95" i="5" s="1"/>
  <c r="J97" i="5"/>
  <c r="K97" i="5" s="1"/>
  <c r="J98" i="5"/>
  <c r="K98" i="5" s="1"/>
  <c r="J99" i="5"/>
  <c r="K99" i="5" s="1"/>
  <c r="J100" i="5"/>
  <c r="K100" i="5" s="1"/>
  <c r="J102" i="5"/>
  <c r="K102" i="5" s="1"/>
  <c r="J103" i="5"/>
  <c r="K103" i="5" s="1"/>
  <c r="J104" i="5"/>
  <c r="K104" i="5" s="1"/>
  <c r="J105" i="5"/>
  <c r="K105" i="5" s="1"/>
  <c r="J107" i="5"/>
  <c r="K107" i="5" s="1"/>
  <c r="J108" i="5"/>
  <c r="K108" i="5" s="1"/>
  <c r="J109" i="5"/>
  <c r="K109" i="5" s="1"/>
  <c r="J110" i="5"/>
  <c r="K110" i="5" s="1"/>
  <c r="J112" i="5"/>
  <c r="K112" i="5" s="1"/>
  <c r="J113" i="5"/>
  <c r="K113" i="5" s="1"/>
  <c r="J114" i="5"/>
  <c r="K114" i="5" s="1"/>
  <c r="J116" i="5"/>
  <c r="K116" i="5" s="1"/>
  <c r="J117" i="5"/>
  <c r="K117" i="5" s="1"/>
  <c r="J118" i="5"/>
  <c r="K118" i="5" s="1"/>
  <c r="J119" i="5"/>
  <c r="K119" i="5" s="1"/>
  <c r="J121" i="5"/>
  <c r="K121" i="5" s="1"/>
  <c r="J122" i="5"/>
  <c r="K122" i="5" s="1"/>
  <c r="J123" i="5"/>
  <c r="K123" i="5" s="1"/>
  <c r="J124" i="5"/>
  <c r="K124" i="5" s="1"/>
  <c r="J126" i="5"/>
  <c r="K126" i="5" s="1"/>
  <c r="J127" i="5"/>
  <c r="K127" i="5" s="1"/>
  <c r="J128" i="5"/>
  <c r="K128" i="5" s="1"/>
  <c r="J129" i="5"/>
  <c r="K129" i="5" s="1"/>
  <c r="J131" i="5"/>
  <c r="K131" i="5" s="1"/>
  <c r="J132" i="5"/>
  <c r="K132" i="5" s="1"/>
  <c r="J133" i="5"/>
  <c r="K133" i="5" s="1"/>
  <c r="J134" i="5"/>
  <c r="K134" i="5" s="1"/>
  <c r="J136" i="5"/>
  <c r="K136" i="5" s="1"/>
  <c r="J137" i="5"/>
  <c r="K137" i="5" s="1"/>
  <c r="J138" i="5"/>
  <c r="K138" i="5" s="1"/>
  <c r="J140" i="5"/>
  <c r="K140" i="5" s="1"/>
  <c r="J141" i="5"/>
  <c r="K141" i="5" s="1"/>
  <c r="J142" i="5"/>
  <c r="K142" i="5" s="1"/>
  <c r="J143" i="5"/>
  <c r="K143" i="5" s="1"/>
  <c r="J145" i="5"/>
  <c r="K145" i="5" s="1"/>
  <c r="J146" i="5"/>
  <c r="K146" i="5" s="1"/>
  <c r="J147" i="5"/>
  <c r="K147" i="5" s="1"/>
  <c r="J148" i="5"/>
  <c r="K148" i="5" s="1"/>
  <c r="J150" i="5"/>
  <c r="K150" i="5" s="1"/>
  <c r="J151" i="5"/>
  <c r="K151" i="5" s="1"/>
  <c r="J152" i="5"/>
  <c r="K152" i="5" s="1"/>
  <c r="J153" i="5"/>
  <c r="K153" i="5" s="1"/>
  <c r="J154" i="5"/>
  <c r="K154" i="5" s="1"/>
  <c r="J155" i="5"/>
  <c r="K155" i="5" s="1"/>
  <c r="J156" i="5"/>
  <c r="K156" i="5" s="1"/>
  <c r="J158" i="5"/>
  <c r="K158" i="5" s="1"/>
  <c r="J159" i="5"/>
  <c r="K159" i="5" s="1"/>
  <c r="J160" i="5"/>
  <c r="K160" i="5" s="1"/>
  <c r="J162" i="5"/>
  <c r="K162" i="5" s="1"/>
  <c r="J163" i="5"/>
  <c r="K163" i="5" s="1"/>
  <c r="J164" i="5"/>
  <c r="K164" i="5" s="1"/>
  <c r="J165" i="5"/>
  <c r="K165" i="5" s="1"/>
  <c r="J167" i="5"/>
  <c r="K167" i="5" s="1"/>
  <c r="J168" i="5"/>
  <c r="K168" i="5" s="1"/>
  <c r="J169" i="5"/>
  <c r="K169" i="5" s="1"/>
  <c r="J170" i="5"/>
  <c r="K170" i="5" s="1"/>
  <c r="J172" i="5"/>
  <c r="K172" i="5" s="1"/>
  <c r="J173" i="5"/>
  <c r="K173" i="5" s="1"/>
  <c r="J174" i="5"/>
  <c r="K174" i="5" s="1"/>
  <c r="J175" i="5"/>
  <c r="K175" i="5" s="1"/>
  <c r="J177" i="5"/>
  <c r="K177" i="5" s="1"/>
  <c r="J178" i="5"/>
  <c r="K178" i="5" s="1"/>
  <c r="J179" i="5"/>
  <c r="K179" i="5" s="1"/>
  <c r="J181" i="5"/>
  <c r="K181" i="5" s="1"/>
  <c r="J182" i="5"/>
  <c r="K182" i="5" s="1"/>
  <c r="J183" i="5"/>
  <c r="K183" i="5" s="1"/>
  <c r="J185" i="5"/>
  <c r="K185" i="5" s="1"/>
  <c r="J186" i="5"/>
  <c r="K186" i="5" s="1"/>
  <c r="J187" i="5"/>
  <c r="K187" i="5" s="1"/>
  <c r="J188" i="5"/>
  <c r="K188" i="5" s="1"/>
  <c r="J190" i="5"/>
  <c r="K190" i="5" s="1"/>
  <c r="J191" i="5"/>
  <c r="K191" i="5" s="1"/>
  <c r="J194" i="5"/>
  <c r="K194" i="5" s="1"/>
  <c r="J195" i="5"/>
  <c r="K195" i="5" s="1"/>
  <c r="J196" i="5"/>
  <c r="K196" i="5" s="1"/>
  <c r="J198" i="5"/>
  <c r="K198" i="5" s="1"/>
  <c r="J199" i="5"/>
  <c r="K199" i="5" s="1"/>
  <c r="J200" i="5"/>
  <c r="K200" i="5" s="1"/>
  <c r="J201" i="5"/>
  <c r="K201" i="5" s="1"/>
  <c r="J202" i="5"/>
  <c r="K202" i="5" s="1"/>
  <c r="J203" i="5"/>
  <c r="K203" i="5" s="1"/>
  <c r="J204" i="5"/>
  <c r="K204" i="5" s="1"/>
  <c r="J206" i="5"/>
  <c r="K206" i="5" s="1"/>
  <c r="J207" i="5"/>
  <c r="K207" i="5" s="1"/>
  <c r="J208" i="5"/>
  <c r="K208" i="5" s="1"/>
  <c r="J209" i="5"/>
  <c r="K209" i="5" s="1"/>
  <c r="J211" i="5"/>
  <c r="K211" i="5" s="1"/>
  <c r="J212" i="5"/>
  <c r="K212" i="5" s="1"/>
  <c r="J213" i="5"/>
  <c r="K213" i="5" s="1"/>
  <c r="J214" i="5"/>
  <c r="K214" i="5" s="1"/>
  <c r="J216" i="5"/>
  <c r="K216" i="5" s="1"/>
  <c r="J217" i="5"/>
  <c r="K217" i="5" s="1"/>
  <c r="J218" i="5"/>
  <c r="K218" i="5" s="1"/>
  <c r="J219" i="5"/>
  <c r="K219" i="5" s="1"/>
  <c r="J221" i="5"/>
  <c r="K221" i="5" s="1"/>
  <c r="J222" i="5"/>
  <c r="K222" i="5" s="1"/>
  <c r="J223" i="5"/>
  <c r="K223" i="5" s="1"/>
  <c r="J225" i="5"/>
  <c r="K225" i="5" s="1"/>
  <c r="J226" i="5"/>
  <c r="K226" i="5" s="1"/>
  <c r="J227" i="5"/>
  <c r="K227" i="5" s="1"/>
  <c r="J228" i="5"/>
  <c r="K228" i="5" s="1"/>
  <c r="J230" i="5"/>
  <c r="K230" i="5" s="1"/>
  <c r="J231" i="5"/>
  <c r="K231" i="5" s="1"/>
  <c r="J232" i="5"/>
  <c r="K232" i="5" s="1"/>
  <c r="J234" i="5"/>
  <c r="K234" i="5" s="1"/>
  <c r="J235" i="5"/>
  <c r="K235" i="5" s="1"/>
  <c r="J236" i="5"/>
  <c r="K236" i="5" s="1"/>
  <c r="J237" i="5"/>
  <c r="K237" i="5" s="1"/>
  <c r="J239" i="5"/>
  <c r="K239" i="5" s="1"/>
  <c r="J240" i="5"/>
  <c r="J241" i="5"/>
  <c r="J243" i="5"/>
  <c r="J244" i="5"/>
  <c r="J245" i="5"/>
  <c r="J246" i="5"/>
  <c r="J248" i="5"/>
  <c r="J249" i="5"/>
  <c r="J250" i="5"/>
  <c r="K250" i="5" s="1"/>
  <c r="J251" i="5"/>
  <c r="K251" i="5" s="1"/>
  <c r="J253" i="5"/>
  <c r="K253" i="5" s="1"/>
  <c r="J254" i="5"/>
  <c r="K254" i="5" s="1"/>
  <c r="J255" i="5"/>
  <c r="K255" i="5" s="1"/>
  <c r="J256" i="5"/>
  <c r="K256" i="5" s="1"/>
  <c r="J258" i="5"/>
  <c r="K258" i="5" s="1"/>
  <c r="J259" i="5"/>
  <c r="K259" i="5" s="1"/>
  <c r="J260" i="5"/>
  <c r="K260" i="5" s="1"/>
  <c r="J261" i="5"/>
  <c r="K261" i="5" s="1"/>
  <c r="J263" i="5"/>
  <c r="K263" i="5" s="1"/>
  <c r="J264" i="5"/>
  <c r="K264" i="5" s="1"/>
  <c r="J265" i="5"/>
  <c r="K265" i="5" s="1"/>
  <c r="J266" i="5"/>
  <c r="K266" i="5" s="1"/>
  <c r="J268" i="5"/>
  <c r="K268" i="5" s="1"/>
  <c r="J269" i="5"/>
  <c r="K269" i="5" s="1"/>
  <c r="J270" i="5"/>
  <c r="K270" i="5" s="1"/>
  <c r="J272" i="5"/>
  <c r="K272" i="5" s="1"/>
  <c r="J273" i="5"/>
  <c r="K273" i="5" s="1"/>
  <c r="J274" i="5"/>
  <c r="K274" i="5" s="1"/>
  <c r="J275" i="5"/>
  <c r="K275" i="5" s="1"/>
  <c r="J277" i="5"/>
  <c r="K277" i="5" s="1"/>
  <c r="J278" i="5"/>
  <c r="K278" i="5" s="1"/>
  <c r="J279" i="5"/>
  <c r="K279" i="5" s="1"/>
  <c r="J280" i="5"/>
  <c r="K280" i="5" s="1"/>
  <c r="J282" i="5"/>
  <c r="K282" i="5" s="1"/>
  <c r="J283" i="5"/>
  <c r="K283" i="5" s="1"/>
  <c r="J284" i="5"/>
  <c r="K284" i="5" s="1"/>
  <c r="J286" i="5"/>
  <c r="K286" i="5" s="1"/>
  <c r="J287" i="5"/>
  <c r="K287" i="5" s="1"/>
  <c r="J288" i="5"/>
  <c r="K288" i="5" s="1"/>
  <c r="J290" i="5"/>
  <c r="K290" i="5" s="1"/>
  <c r="J291" i="5"/>
  <c r="K291" i="5" s="1"/>
  <c r="J292" i="5"/>
  <c r="K292" i="5" s="1"/>
  <c r="J294" i="5"/>
  <c r="K294" i="5" s="1"/>
  <c r="J295" i="5"/>
  <c r="K295" i="5" s="1"/>
  <c r="J298" i="5"/>
  <c r="K298" i="5" s="1"/>
  <c r="J299" i="5"/>
  <c r="K299" i="5" s="1"/>
  <c r="J300" i="5"/>
  <c r="K300" i="5" s="1"/>
  <c r="J301" i="5"/>
  <c r="K301" i="5" s="1"/>
  <c r="J303" i="5"/>
  <c r="K303" i="5" s="1"/>
  <c r="J304" i="5"/>
  <c r="K304" i="5" s="1"/>
  <c r="J305" i="5"/>
  <c r="K305" i="5" s="1"/>
  <c r="J307" i="5"/>
  <c r="K307" i="5" s="1"/>
  <c r="J308" i="5"/>
  <c r="K308" i="5" s="1"/>
  <c r="J309" i="5"/>
  <c r="K309" i="5" s="1"/>
  <c r="J310" i="5"/>
  <c r="K310" i="5" s="1"/>
  <c r="J312" i="5"/>
  <c r="K312" i="5" s="1"/>
  <c r="J313" i="5"/>
  <c r="K313" i="5" s="1"/>
  <c r="J316" i="5"/>
  <c r="K316" i="5" s="1"/>
  <c r="J317" i="5"/>
  <c r="K317" i="5" s="1"/>
  <c r="J319" i="5"/>
  <c r="K319" i="5" s="1"/>
  <c r="J320" i="5"/>
  <c r="K320" i="5" s="1"/>
  <c r="J321" i="5"/>
  <c r="K321" i="5" s="1"/>
  <c r="J322" i="5"/>
  <c r="K322" i="5" s="1"/>
  <c r="J324" i="5"/>
  <c r="K324" i="5" s="1"/>
  <c r="J325" i="5"/>
  <c r="K325" i="5" s="1"/>
  <c r="J326" i="5"/>
  <c r="K326" i="5" s="1"/>
  <c r="J328" i="5"/>
  <c r="K328" i="5" s="1"/>
  <c r="J329" i="5"/>
  <c r="K329" i="5" s="1"/>
  <c r="J330" i="5"/>
  <c r="K330" i="5" s="1"/>
  <c r="J332" i="5"/>
  <c r="K332" i="5" s="1"/>
  <c r="J333" i="5"/>
  <c r="K333" i="5" s="1"/>
  <c r="J334" i="5"/>
  <c r="K334" i="5" s="1"/>
  <c r="J335" i="5"/>
  <c r="K335" i="5" s="1"/>
  <c r="J337" i="5"/>
  <c r="K337" i="5" s="1"/>
  <c r="J338" i="5"/>
  <c r="K338" i="5" s="1"/>
  <c r="J339" i="5"/>
  <c r="K339" i="5" s="1"/>
  <c r="J340" i="5"/>
  <c r="K340" i="5" s="1"/>
  <c r="J342" i="5"/>
  <c r="K342" i="5" s="1"/>
  <c r="J343" i="5"/>
  <c r="K343" i="5" s="1"/>
  <c r="J344" i="5"/>
  <c r="K344" i="5" s="1"/>
  <c r="J345" i="5"/>
  <c r="K345" i="5" s="1"/>
  <c r="J347" i="5"/>
  <c r="K347" i="5" s="1"/>
  <c r="J348" i="5"/>
  <c r="K348" i="5" s="1"/>
  <c r="J349" i="5"/>
  <c r="K349" i="5" s="1"/>
  <c r="J351" i="5"/>
  <c r="K351" i="5" s="1"/>
  <c r="J352" i="5"/>
  <c r="K352" i="5" s="1"/>
  <c r="J353" i="5"/>
  <c r="K353" i="5" s="1"/>
  <c r="J354" i="5"/>
  <c r="K354" i="5" s="1"/>
  <c r="J356" i="5"/>
  <c r="K356" i="5" s="1"/>
  <c r="J357" i="5"/>
  <c r="K357" i="5" s="1"/>
  <c r="J358" i="5"/>
  <c r="K358" i="5" s="1"/>
  <c r="J359" i="5"/>
  <c r="K359" i="5" s="1"/>
  <c r="J361" i="5"/>
  <c r="K361" i="5" s="1"/>
  <c r="J362" i="5"/>
  <c r="K362" i="5" s="1"/>
  <c r="J363" i="5"/>
  <c r="K363" i="5" s="1"/>
  <c r="J364" i="5"/>
  <c r="K364" i="5" s="1"/>
  <c r="J366" i="5"/>
  <c r="K366" i="5" s="1"/>
  <c r="J367" i="5"/>
  <c r="K367" i="5" s="1"/>
  <c r="J368" i="5"/>
  <c r="K368" i="5" s="1"/>
  <c r="J369" i="5"/>
  <c r="K369" i="5" s="1"/>
  <c r="J371" i="5"/>
  <c r="K371" i="5" s="1"/>
  <c r="J372" i="5"/>
  <c r="K372" i="5" s="1"/>
  <c r="J373" i="5"/>
  <c r="K373" i="5" s="1"/>
  <c r="J375" i="5"/>
  <c r="K375" i="5" s="1"/>
  <c r="J376" i="5"/>
  <c r="K376" i="5" s="1"/>
  <c r="J377" i="5"/>
  <c r="K377" i="5" s="1"/>
  <c r="J378" i="5"/>
  <c r="K378" i="5" s="1"/>
  <c r="J379" i="5"/>
  <c r="K379" i="5" s="1"/>
  <c r="J380" i="5"/>
  <c r="K380" i="5" s="1"/>
  <c r="J381" i="5"/>
  <c r="K381" i="5" s="1"/>
  <c r="J383" i="5"/>
  <c r="K383" i="5" s="1"/>
  <c r="J384" i="5"/>
  <c r="K384" i="5" s="1"/>
  <c r="J385" i="5"/>
  <c r="K385" i="5" s="1"/>
  <c r="J386" i="5"/>
  <c r="K386" i="5" s="1"/>
  <c r="J388" i="5"/>
  <c r="K388" i="5" s="1"/>
  <c r="J389" i="5"/>
  <c r="K389" i="5" s="1"/>
  <c r="J390" i="5"/>
  <c r="K390" i="5" s="1"/>
  <c r="J391" i="5"/>
  <c r="K391" i="5" s="1"/>
  <c r="J393" i="5"/>
  <c r="K393" i="5" s="1"/>
  <c r="J394" i="5"/>
  <c r="K394" i="5" s="1"/>
  <c r="J395" i="5"/>
  <c r="K395" i="5" s="1"/>
  <c r="J396" i="5"/>
  <c r="K396" i="5" s="1"/>
  <c r="J397" i="5"/>
  <c r="K397" i="5" s="1"/>
  <c r="J398" i="5"/>
  <c r="K398" i="5" s="1"/>
  <c r="J399" i="5"/>
  <c r="K399" i="5" s="1"/>
  <c r="J400" i="5"/>
  <c r="K400" i="5" s="1"/>
  <c r="J402" i="5"/>
  <c r="K402" i="5" s="1"/>
  <c r="J403" i="5"/>
  <c r="K403" i="5" s="1"/>
  <c r="J404" i="5"/>
  <c r="K404" i="5" s="1"/>
  <c r="J405" i="5"/>
  <c r="K405" i="5" s="1"/>
  <c r="J407" i="5"/>
  <c r="K407" i="5" s="1"/>
  <c r="J408" i="5"/>
  <c r="K408" i="5" s="1"/>
  <c r="J409" i="5"/>
  <c r="K409" i="5" s="1"/>
  <c r="J411" i="5"/>
  <c r="K411" i="5" s="1"/>
  <c r="J412" i="5"/>
  <c r="K412" i="5" s="1"/>
  <c r="J413" i="5"/>
  <c r="K413" i="5" s="1"/>
  <c r="J415" i="5"/>
  <c r="K415" i="5" s="1"/>
  <c r="J416" i="5"/>
  <c r="K416" i="5" s="1"/>
  <c r="J417" i="5"/>
  <c r="K417" i="5" s="1"/>
  <c r="J418" i="5"/>
  <c r="K418" i="5" s="1"/>
  <c r="J420" i="5"/>
  <c r="K420" i="5" s="1"/>
  <c r="J421" i="5"/>
  <c r="K421" i="5" s="1"/>
  <c r="J422" i="5"/>
  <c r="K422" i="5" s="1"/>
  <c r="J424" i="5"/>
  <c r="K424" i="5" s="1"/>
  <c r="J425" i="5"/>
  <c r="K425" i="5" s="1"/>
  <c r="J427" i="5"/>
  <c r="K427" i="5" s="1"/>
  <c r="J428" i="5"/>
  <c r="K428" i="5" s="1"/>
  <c r="J429" i="5"/>
  <c r="K429" i="5" s="1"/>
  <c r="J430" i="5"/>
  <c r="K430" i="5" s="1"/>
  <c r="J432" i="5"/>
  <c r="K432" i="5" s="1"/>
  <c r="J433" i="5"/>
  <c r="K433" i="5" s="1"/>
  <c r="J436" i="5"/>
  <c r="K436" i="5" s="1"/>
  <c r="J437" i="5"/>
  <c r="K437" i="5" s="1"/>
  <c r="J438" i="5"/>
  <c r="K438" i="5" s="1"/>
  <c r="J439" i="5"/>
  <c r="K439" i="5" s="1"/>
  <c r="J441" i="5"/>
  <c r="K441" i="5" s="1"/>
  <c r="J442" i="5"/>
  <c r="K442" i="5" s="1"/>
  <c r="J443" i="5"/>
  <c r="K443" i="5" s="1"/>
  <c r="J445" i="5"/>
  <c r="K445" i="5" s="1"/>
  <c r="J446" i="5"/>
  <c r="K446" i="5" s="1"/>
  <c r="J447" i="5"/>
  <c r="K447" i="5" s="1"/>
  <c r="J449" i="5"/>
  <c r="K449" i="5" s="1"/>
  <c r="J450" i="5"/>
  <c r="K450" i="5" s="1"/>
  <c r="J451" i="5"/>
  <c r="K451" i="5" s="1"/>
  <c r="J452" i="5"/>
  <c r="K452" i="5" s="1"/>
  <c r="J454" i="5"/>
  <c r="K454" i="5" s="1"/>
  <c r="J455" i="5"/>
  <c r="K455" i="5" s="1"/>
  <c r="J456" i="5"/>
  <c r="K456" i="5" s="1"/>
  <c r="J457" i="5"/>
  <c r="K457" i="5" s="1"/>
  <c r="J458" i="5"/>
  <c r="K458" i="5" s="1"/>
  <c r="J459" i="5"/>
  <c r="K459" i="5" s="1"/>
  <c r="J460" i="5"/>
  <c r="K460" i="5" s="1"/>
  <c r="J461" i="5"/>
  <c r="K461" i="5" s="1"/>
  <c r="J463" i="5"/>
  <c r="K463" i="5" s="1"/>
  <c r="J464" i="5"/>
  <c r="K464" i="5" s="1"/>
  <c r="J465" i="5"/>
  <c r="K465" i="5" s="1"/>
  <c r="J467" i="5"/>
  <c r="K467" i="5" s="1"/>
  <c r="J468" i="5"/>
  <c r="K468" i="5" s="1"/>
  <c r="J469" i="5"/>
  <c r="K469" i="5" s="1"/>
  <c r="J470" i="5"/>
  <c r="K470" i="5" s="1"/>
  <c r="J472" i="5"/>
  <c r="K472" i="5" s="1"/>
  <c r="J2" i="5"/>
  <c r="K2" i="5" s="1"/>
  <c r="K3" i="5"/>
  <c r="K4" i="5"/>
  <c r="K6" i="5"/>
  <c r="K7" i="5"/>
  <c r="K8" i="5"/>
  <c r="K9" i="5"/>
  <c r="K11" i="5"/>
  <c r="K12" i="5"/>
  <c r="K13" i="5"/>
  <c r="K14" i="5"/>
  <c r="K240" i="5"/>
  <c r="K241" i="5"/>
  <c r="K243" i="5"/>
  <c r="K244" i="5"/>
  <c r="K245" i="5"/>
  <c r="K246" i="5"/>
  <c r="K248" i="5"/>
  <c r="K249" i="5"/>
  <c r="M7" i="2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K6" i="2"/>
  <c r="K12" i="2" a="1"/>
  <c r="F473" i="4"/>
  <c r="F3" i="4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F72" i="4"/>
  <c r="G72" i="4" s="1"/>
  <c r="F73" i="4"/>
  <c r="G73" i="4" s="1"/>
  <c r="F74" i="4"/>
  <c r="G74" i="4" s="1"/>
  <c r="F75" i="4"/>
  <c r="G75" i="4" s="1"/>
  <c r="F76" i="4"/>
  <c r="G76" i="4" s="1"/>
  <c r="F77" i="4"/>
  <c r="G77" i="4" s="1"/>
  <c r="F78" i="4"/>
  <c r="G78" i="4" s="1"/>
  <c r="F79" i="4"/>
  <c r="G79" i="4" s="1"/>
  <c r="F80" i="4"/>
  <c r="G80" i="4" s="1"/>
  <c r="F81" i="4"/>
  <c r="G81" i="4" s="1"/>
  <c r="F82" i="4"/>
  <c r="G82" i="4" s="1"/>
  <c r="F83" i="4"/>
  <c r="G83" i="4" s="1"/>
  <c r="F84" i="4"/>
  <c r="G84" i="4" s="1"/>
  <c r="F85" i="4"/>
  <c r="G85" i="4" s="1"/>
  <c r="F86" i="4"/>
  <c r="G86" i="4" s="1"/>
  <c r="F87" i="4"/>
  <c r="G87" i="4" s="1"/>
  <c r="F88" i="4"/>
  <c r="G88" i="4" s="1"/>
  <c r="F89" i="4"/>
  <c r="G89" i="4" s="1"/>
  <c r="F90" i="4"/>
  <c r="G90" i="4" s="1"/>
  <c r="F91" i="4"/>
  <c r="G91" i="4" s="1"/>
  <c r="F92" i="4"/>
  <c r="G92" i="4" s="1"/>
  <c r="F93" i="4"/>
  <c r="G93" i="4" s="1"/>
  <c r="F94" i="4"/>
  <c r="G94" i="4" s="1"/>
  <c r="F95" i="4"/>
  <c r="G95" i="4" s="1"/>
  <c r="F96" i="4"/>
  <c r="G96" i="4" s="1"/>
  <c r="F97" i="4"/>
  <c r="G97" i="4" s="1"/>
  <c r="F98" i="4"/>
  <c r="G98" i="4" s="1"/>
  <c r="F99" i="4"/>
  <c r="G99" i="4" s="1"/>
  <c r="F100" i="4"/>
  <c r="G100" i="4" s="1"/>
  <c r="F101" i="4"/>
  <c r="G101" i="4" s="1"/>
  <c r="F102" i="4"/>
  <c r="G102" i="4" s="1"/>
  <c r="F103" i="4"/>
  <c r="G103" i="4" s="1"/>
  <c r="F104" i="4"/>
  <c r="G104" i="4" s="1"/>
  <c r="F105" i="4"/>
  <c r="G105" i="4" s="1"/>
  <c r="F106" i="4"/>
  <c r="G106" i="4" s="1"/>
  <c r="F107" i="4"/>
  <c r="G107" i="4" s="1"/>
  <c r="F108" i="4"/>
  <c r="G108" i="4" s="1"/>
  <c r="F109" i="4"/>
  <c r="G109" i="4" s="1"/>
  <c r="F110" i="4"/>
  <c r="G110" i="4" s="1"/>
  <c r="F111" i="4"/>
  <c r="G111" i="4" s="1"/>
  <c r="F112" i="4"/>
  <c r="G112" i="4" s="1"/>
  <c r="F113" i="4"/>
  <c r="G113" i="4" s="1"/>
  <c r="F114" i="4"/>
  <c r="G114" i="4" s="1"/>
  <c r="F115" i="4"/>
  <c r="G115" i="4" s="1"/>
  <c r="F116" i="4"/>
  <c r="G116" i="4" s="1"/>
  <c r="F117" i="4"/>
  <c r="G117" i="4" s="1"/>
  <c r="F118" i="4"/>
  <c r="G118" i="4" s="1"/>
  <c r="F119" i="4"/>
  <c r="G119" i="4" s="1"/>
  <c r="F120" i="4"/>
  <c r="G120" i="4" s="1"/>
  <c r="F121" i="4"/>
  <c r="G121" i="4" s="1"/>
  <c r="F122" i="4"/>
  <c r="G122" i="4" s="1"/>
  <c r="F123" i="4"/>
  <c r="G123" i="4" s="1"/>
  <c r="F124" i="4"/>
  <c r="G124" i="4" s="1"/>
  <c r="F125" i="4"/>
  <c r="G125" i="4" s="1"/>
  <c r="F126" i="4"/>
  <c r="G126" i="4" s="1"/>
  <c r="F127" i="4"/>
  <c r="G127" i="4" s="1"/>
  <c r="F128" i="4"/>
  <c r="G128" i="4" s="1"/>
  <c r="F129" i="4"/>
  <c r="G129" i="4" s="1"/>
  <c r="F130" i="4"/>
  <c r="G130" i="4" s="1"/>
  <c r="F131" i="4"/>
  <c r="G131" i="4" s="1"/>
  <c r="F132" i="4"/>
  <c r="G132" i="4" s="1"/>
  <c r="F133" i="4"/>
  <c r="G133" i="4" s="1"/>
  <c r="F134" i="4"/>
  <c r="G134" i="4" s="1"/>
  <c r="F135" i="4"/>
  <c r="G135" i="4" s="1"/>
  <c r="F136" i="4"/>
  <c r="G136" i="4" s="1"/>
  <c r="F137" i="4"/>
  <c r="G137" i="4" s="1"/>
  <c r="F138" i="4"/>
  <c r="G138" i="4" s="1"/>
  <c r="F139" i="4"/>
  <c r="G139" i="4" s="1"/>
  <c r="F140" i="4"/>
  <c r="G140" i="4" s="1"/>
  <c r="F141" i="4"/>
  <c r="G141" i="4" s="1"/>
  <c r="F142" i="4"/>
  <c r="G142" i="4" s="1"/>
  <c r="F143" i="4"/>
  <c r="G143" i="4" s="1"/>
  <c r="F144" i="4"/>
  <c r="G144" i="4" s="1"/>
  <c r="F145" i="4"/>
  <c r="G145" i="4" s="1"/>
  <c r="F146" i="4"/>
  <c r="G146" i="4" s="1"/>
  <c r="F147" i="4"/>
  <c r="G147" i="4" s="1"/>
  <c r="F148" i="4"/>
  <c r="G148" i="4" s="1"/>
  <c r="F149" i="4"/>
  <c r="G149" i="4" s="1"/>
  <c r="F150" i="4"/>
  <c r="G150" i="4" s="1"/>
  <c r="F151" i="4"/>
  <c r="G151" i="4" s="1"/>
  <c r="F152" i="4"/>
  <c r="G152" i="4" s="1"/>
  <c r="F153" i="4"/>
  <c r="G153" i="4" s="1"/>
  <c r="F154" i="4"/>
  <c r="G154" i="4" s="1"/>
  <c r="F155" i="4"/>
  <c r="G155" i="4" s="1"/>
  <c r="F156" i="4"/>
  <c r="G156" i="4" s="1"/>
  <c r="F157" i="4"/>
  <c r="G157" i="4" s="1"/>
  <c r="F158" i="4"/>
  <c r="G158" i="4" s="1"/>
  <c r="F159" i="4"/>
  <c r="G159" i="4" s="1"/>
  <c r="F160" i="4"/>
  <c r="G160" i="4" s="1"/>
  <c r="F161" i="4"/>
  <c r="G161" i="4" s="1"/>
  <c r="F162" i="4"/>
  <c r="G162" i="4" s="1"/>
  <c r="F163" i="4"/>
  <c r="G163" i="4" s="1"/>
  <c r="F164" i="4"/>
  <c r="G164" i="4" s="1"/>
  <c r="F165" i="4"/>
  <c r="G165" i="4" s="1"/>
  <c r="F166" i="4"/>
  <c r="G166" i="4" s="1"/>
  <c r="F167" i="4"/>
  <c r="G167" i="4" s="1"/>
  <c r="F168" i="4"/>
  <c r="G168" i="4" s="1"/>
  <c r="F169" i="4"/>
  <c r="G169" i="4" s="1"/>
  <c r="F170" i="4"/>
  <c r="G170" i="4" s="1"/>
  <c r="F171" i="4"/>
  <c r="G171" i="4" s="1"/>
  <c r="F172" i="4"/>
  <c r="G172" i="4" s="1"/>
  <c r="F173" i="4"/>
  <c r="G173" i="4" s="1"/>
  <c r="F174" i="4"/>
  <c r="G174" i="4" s="1"/>
  <c r="F175" i="4"/>
  <c r="G175" i="4" s="1"/>
  <c r="F176" i="4"/>
  <c r="G176" i="4" s="1"/>
  <c r="F177" i="4"/>
  <c r="G177" i="4" s="1"/>
  <c r="F178" i="4"/>
  <c r="G178" i="4" s="1"/>
  <c r="F179" i="4"/>
  <c r="G179" i="4" s="1"/>
  <c r="F180" i="4"/>
  <c r="G180" i="4" s="1"/>
  <c r="F181" i="4"/>
  <c r="G181" i="4" s="1"/>
  <c r="F182" i="4"/>
  <c r="G182" i="4" s="1"/>
  <c r="F183" i="4"/>
  <c r="G183" i="4" s="1"/>
  <c r="F184" i="4"/>
  <c r="G184" i="4" s="1"/>
  <c r="F185" i="4"/>
  <c r="G185" i="4" s="1"/>
  <c r="F186" i="4"/>
  <c r="G186" i="4" s="1"/>
  <c r="F187" i="4"/>
  <c r="G187" i="4" s="1"/>
  <c r="F188" i="4"/>
  <c r="G188" i="4" s="1"/>
  <c r="F189" i="4"/>
  <c r="G189" i="4" s="1"/>
  <c r="F190" i="4"/>
  <c r="G190" i="4" s="1"/>
  <c r="F191" i="4"/>
  <c r="G191" i="4" s="1"/>
  <c r="F192" i="4"/>
  <c r="G192" i="4" s="1"/>
  <c r="F193" i="4"/>
  <c r="G193" i="4" s="1"/>
  <c r="F194" i="4"/>
  <c r="G194" i="4" s="1"/>
  <c r="F195" i="4"/>
  <c r="G195" i="4" s="1"/>
  <c r="F196" i="4"/>
  <c r="G196" i="4" s="1"/>
  <c r="F197" i="4"/>
  <c r="G197" i="4" s="1"/>
  <c r="F198" i="4"/>
  <c r="G198" i="4" s="1"/>
  <c r="F199" i="4"/>
  <c r="G199" i="4" s="1"/>
  <c r="F200" i="4"/>
  <c r="G200" i="4" s="1"/>
  <c r="F201" i="4"/>
  <c r="G201" i="4" s="1"/>
  <c r="F202" i="4"/>
  <c r="G202" i="4" s="1"/>
  <c r="F203" i="4"/>
  <c r="G203" i="4" s="1"/>
  <c r="F204" i="4"/>
  <c r="G204" i="4" s="1"/>
  <c r="F205" i="4"/>
  <c r="G205" i="4" s="1"/>
  <c r="F206" i="4"/>
  <c r="G206" i="4" s="1"/>
  <c r="F207" i="4"/>
  <c r="G207" i="4" s="1"/>
  <c r="F208" i="4"/>
  <c r="G208" i="4" s="1"/>
  <c r="F209" i="4"/>
  <c r="G209" i="4" s="1"/>
  <c r="F210" i="4"/>
  <c r="G210" i="4" s="1"/>
  <c r="F211" i="4"/>
  <c r="G211" i="4" s="1"/>
  <c r="F212" i="4"/>
  <c r="G212" i="4" s="1"/>
  <c r="F213" i="4"/>
  <c r="G213" i="4" s="1"/>
  <c r="F214" i="4"/>
  <c r="G214" i="4" s="1"/>
  <c r="F215" i="4"/>
  <c r="G215" i="4" s="1"/>
  <c r="F216" i="4"/>
  <c r="G216" i="4" s="1"/>
  <c r="F217" i="4"/>
  <c r="G217" i="4" s="1"/>
  <c r="F218" i="4"/>
  <c r="G218" i="4" s="1"/>
  <c r="F219" i="4"/>
  <c r="G219" i="4" s="1"/>
  <c r="F220" i="4"/>
  <c r="G220" i="4" s="1"/>
  <c r="F221" i="4"/>
  <c r="G221" i="4" s="1"/>
  <c r="F222" i="4"/>
  <c r="G222" i="4" s="1"/>
  <c r="F223" i="4"/>
  <c r="G223" i="4" s="1"/>
  <c r="F224" i="4"/>
  <c r="G224" i="4" s="1"/>
  <c r="F225" i="4"/>
  <c r="G225" i="4" s="1"/>
  <c r="F226" i="4"/>
  <c r="G226" i="4" s="1"/>
  <c r="F227" i="4"/>
  <c r="G227" i="4" s="1"/>
  <c r="F228" i="4"/>
  <c r="G228" i="4" s="1"/>
  <c r="F229" i="4"/>
  <c r="G229" i="4" s="1"/>
  <c r="F230" i="4"/>
  <c r="G230" i="4" s="1"/>
  <c r="F231" i="4"/>
  <c r="G231" i="4" s="1"/>
  <c r="F232" i="4"/>
  <c r="G232" i="4" s="1"/>
  <c r="F233" i="4"/>
  <c r="G233" i="4" s="1"/>
  <c r="F234" i="4"/>
  <c r="G234" i="4" s="1"/>
  <c r="F235" i="4"/>
  <c r="G235" i="4" s="1"/>
  <c r="F236" i="4"/>
  <c r="G236" i="4" s="1"/>
  <c r="F237" i="4"/>
  <c r="G237" i="4" s="1"/>
  <c r="F238" i="4"/>
  <c r="G238" i="4" s="1"/>
  <c r="F239" i="4"/>
  <c r="G239" i="4" s="1"/>
  <c r="F240" i="4"/>
  <c r="G240" i="4" s="1"/>
  <c r="F241" i="4"/>
  <c r="G241" i="4" s="1"/>
  <c r="F242" i="4"/>
  <c r="G242" i="4" s="1"/>
  <c r="F243" i="4"/>
  <c r="G243" i="4" s="1"/>
  <c r="F244" i="4"/>
  <c r="G244" i="4" s="1"/>
  <c r="F245" i="4"/>
  <c r="G245" i="4" s="1"/>
  <c r="F246" i="4"/>
  <c r="G246" i="4" s="1"/>
  <c r="F247" i="4"/>
  <c r="G247" i="4" s="1"/>
  <c r="F248" i="4"/>
  <c r="G248" i="4" s="1"/>
  <c r="F249" i="4"/>
  <c r="G249" i="4" s="1"/>
  <c r="F250" i="4"/>
  <c r="G250" i="4" s="1"/>
  <c r="F251" i="4"/>
  <c r="G251" i="4" s="1"/>
  <c r="F252" i="4"/>
  <c r="G252" i="4" s="1"/>
  <c r="F253" i="4"/>
  <c r="G253" i="4" s="1"/>
  <c r="F254" i="4"/>
  <c r="G254" i="4" s="1"/>
  <c r="F255" i="4"/>
  <c r="G255" i="4" s="1"/>
  <c r="F256" i="4"/>
  <c r="G256" i="4" s="1"/>
  <c r="F257" i="4"/>
  <c r="G257" i="4" s="1"/>
  <c r="F258" i="4"/>
  <c r="G258" i="4" s="1"/>
  <c r="F259" i="4"/>
  <c r="G259" i="4" s="1"/>
  <c r="F260" i="4"/>
  <c r="G260" i="4" s="1"/>
  <c r="F261" i="4"/>
  <c r="G261" i="4" s="1"/>
  <c r="F262" i="4"/>
  <c r="G262" i="4" s="1"/>
  <c r="F263" i="4"/>
  <c r="G263" i="4" s="1"/>
  <c r="F264" i="4"/>
  <c r="G264" i="4" s="1"/>
  <c r="F265" i="4"/>
  <c r="G265" i="4" s="1"/>
  <c r="F266" i="4"/>
  <c r="G266" i="4" s="1"/>
  <c r="F267" i="4"/>
  <c r="G267" i="4" s="1"/>
  <c r="F268" i="4"/>
  <c r="G268" i="4" s="1"/>
  <c r="F269" i="4"/>
  <c r="G269" i="4" s="1"/>
  <c r="F270" i="4"/>
  <c r="G270" i="4" s="1"/>
  <c r="F271" i="4"/>
  <c r="G271" i="4" s="1"/>
  <c r="F272" i="4"/>
  <c r="G272" i="4" s="1"/>
  <c r="F273" i="4"/>
  <c r="G273" i="4" s="1"/>
  <c r="F274" i="4"/>
  <c r="G274" i="4" s="1"/>
  <c r="F275" i="4"/>
  <c r="G275" i="4" s="1"/>
  <c r="F276" i="4"/>
  <c r="G276" i="4" s="1"/>
  <c r="F277" i="4"/>
  <c r="G277" i="4" s="1"/>
  <c r="F278" i="4"/>
  <c r="G278" i="4" s="1"/>
  <c r="F279" i="4"/>
  <c r="G279" i="4" s="1"/>
  <c r="F280" i="4"/>
  <c r="G280" i="4" s="1"/>
  <c r="F281" i="4"/>
  <c r="G281" i="4" s="1"/>
  <c r="F282" i="4"/>
  <c r="G282" i="4" s="1"/>
  <c r="F283" i="4"/>
  <c r="G283" i="4" s="1"/>
  <c r="F284" i="4"/>
  <c r="G284" i="4" s="1"/>
  <c r="F285" i="4"/>
  <c r="G285" i="4" s="1"/>
  <c r="F286" i="4"/>
  <c r="G286" i="4" s="1"/>
  <c r="F287" i="4"/>
  <c r="G287" i="4" s="1"/>
  <c r="F288" i="4"/>
  <c r="G288" i="4" s="1"/>
  <c r="F289" i="4"/>
  <c r="G289" i="4" s="1"/>
  <c r="F290" i="4"/>
  <c r="G290" i="4" s="1"/>
  <c r="F291" i="4"/>
  <c r="G291" i="4" s="1"/>
  <c r="F292" i="4"/>
  <c r="G292" i="4" s="1"/>
  <c r="F293" i="4"/>
  <c r="G293" i="4" s="1"/>
  <c r="F294" i="4"/>
  <c r="G294" i="4" s="1"/>
  <c r="F295" i="4"/>
  <c r="G295" i="4" s="1"/>
  <c r="F296" i="4"/>
  <c r="G296" i="4" s="1"/>
  <c r="F297" i="4"/>
  <c r="G297" i="4" s="1"/>
  <c r="F298" i="4"/>
  <c r="G298" i="4" s="1"/>
  <c r="F299" i="4"/>
  <c r="G299" i="4" s="1"/>
  <c r="F300" i="4"/>
  <c r="G300" i="4" s="1"/>
  <c r="F301" i="4"/>
  <c r="G301" i="4" s="1"/>
  <c r="F302" i="4"/>
  <c r="G302" i="4" s="1"/>
  <c r="F303" i="4"/>
  <c r="G303" i="4" s="1"/>
  <c r="F304" i="4"/>
  <c r="G304" i="4" s="1"/>
  <c r="F305" i="4"/>
  <c r="G305" i="4" s="1"/>
  <c r="F306" i="4"/>
  <c r="G306" i="4" s="1"/>
  <c r="F307" i="4"/>
  <c r="G307" i="4" s="1"/>
  <c r="F308" i="4"/>
  <c r="G308" i="4" s="1"/>
  <c r="F309" i="4"/>
  <c r="G309" i="4" s="1"/>
  <c r="F310" i="4"/>
  <c r="G310" i="4" s="1"/>
  <c r="F311" i="4"/>
  <c r="G311" i="4" s="1"/>
  <c r="F312" i="4"/>
  <c r="G312" i="4" s="1"/>
  <c r="F313" i="4"/>
  <c r="G313" i="4" s="1"/>
  <c r="F314" i="4"/>
  <c r="G314" i="4" s="1"/>
  <c r="F315" i="4"/>
  <c r="G315" i="4" s="1"/>
  <c r="F316" i="4"/>
  <c r="G316" i="4" s="1"/>
  <c r="F317" i="4"/>
  <c r="G317" i="4" s="1"/>
  <c r="F318" i="4"/>
  <c r="G318" i="4" s="1"/>
  <c r="F319" i="4"/>
  <c r="G319" i="4" s="1"/>
  <c r="F320" i="4"/>
  <c r="G320" i="4" s="1"/>
  <c r="F321" i="4"/>
  <c r="G321" i="4" s="1"/>
  <c r="F322" i="4"/>
  <c r="G322" i="4" s="1"/>
  <c r="F323" i="4"/>
  <c r="G323" i="4" s="1"/>
  <c r="F324" i="4"/>
  <c r="G324" i="4" s="1"/>
  <c r="F325" i="4"/>
  <c r="G325" i="4" s="1"/>
  <c r="F326" i="4"/>
  <c r="G326" i="4" s="1"/>
  <c r="F327" i="4"/>
  <c r="G327" i="4" s="1"/>
  <c r="F328" i="4"/>
  <c r="G328" i="4" s="1"/>
  <c r="F329" i="4"/>
  <c r="G329" i="4" s="1"/>
  <c r="F330" i="4"/>
  <c r="G330" i="4" s="1"/>
  <c r="F331" i="4"/>
  <c r="G331" i="4" s="1"/>
  <c r="F332" i="4"/>
  <c r="G332" i="4" s="1"/>
  <c r="F333" i="4"/>
  <c r="G333" i="4" s="1"/>
  <c r="F334" i="4"/>
  <c r="G334" i="4" s="1"/>
  <c r="F335" i="4"/>
  <c r="G335" i="4" s="1"/>
  <c r="F336" i="4"/>
  <c r="G336" i="4" s="1"/>
  <c r="F337" i="4"/>
  <c r="G337" i="4" s="1"/>
  <c r="F338" i="4"/>
  <c r="G338" i="4" s="1"/>
  <c r="F339" i="4"/>
  <c r="G339" i="4" s="1"/>
  <c r="F340" i="4"/>
  <c r="G340" i="4" s="1"/>
  <c r="F341" i="4"/>
  <c r="G341" i="4" s="1"/>
  <c r="F342" i="4"/>
  <c r="G342" i="4" s="1"/>
  <c r="F343" i="4"/>
  <c r="G343" i="4" s="1"/>
  <c r="F344" i="4"/>
  <c r="G344" i="4" s="1"/>
  <c r="F345" i="4"/>
  <c r="G345" i="4" s="1"/>
  <c r="F346" i="4"/>
  <c r="G346" i="4" s="1"/>
  <c r="F347" i="4"/>
  <c r="G347" i="4" s="1"/>
  <c r="F348" i="4"/>
  <c r="G348" i="4" s="1"/>
  <c r="F349" i="4"/>
  <c r="G349" i="4" s="1"/>
  <c r="F350" i="4"/>
  <c r="G350" i="4" s="1"/>
  <c r="F351" i="4"/>
  <c r="G351" i="4" s="1"/>
  <c r="F352" i="4"/>
  <c r="G352" i="4" s="1"/>
  <c r="F353" i="4"/>
  <c r="G353" i="4" s="1"/>
  <c r="F354" i="4"/>
  <c r="G354" i="4" s="1"/>
  <c r="F355" i="4"/>
  <c r="G355" i="4" s="1"/>
  <c r="F356" i="4"/>
  <c r="G356" i="4" s="1"/>
  <c r="F357" i="4"/>
  <c r="G357" i="4" s="1"/>
  <c r="F358" i="4"/>
  <c r="G358" i="4" s="1"/>
  <c r="F359" i="4"/>
  <c r="G359" i="4" s="1"/>
  <c r="F360" i="4"/>
  <c r="G360" i="4" s="1"/>
  <c r="F361" i="4"/>
  <c r="G361" i="4" s="1"/>
  <c r="F362" i="4"/>
  <c r="G362" i="4" s="1"/>
  <c r="F363" i="4"/>
  <c r="G363" i="4" s="1"/>
  <c r="F364" i="4"/>
  <c r="G364" i="4" s="1"/>
  <c r="F365" i="4"/>
  <c r="G365" i="4" s="1"/>
  <c r="F366" i="4"/>
  <c r="G366" i="4" s="1"/>
  <c r="F367" i="4"/>
  <c r="G367" i="4" s="1"/>
  <c r="F368" i="4"/>
  <c r="G368" i="4" s="1"/>
  <c r="F369" i="4"/>
  <c r="G369" i="4" s="1"/>
  <c r="F370" i="4"/>
  <c r="G370" i="4" s="1"/>
  <c r="F371" i="4"/>
  <c r="G371" i="4" s="1"/>
  <c r="F372" i="4"/>
  <c r="G372" i="4" s="1"/>
  <c r="F373" i="4"/>
  <c r="G373" i="4" s="1"/>
  <c r="F374" i="4"/>
  <c r="G374" i="4" s="1"/>
  <c r="F375" i="4"/>
  <c r="G375" i="4" s="1"/>
  <c r="F376" i="4"/>
  <c r="G376" i="4" s="1"/>
  <c r="F377" i="4"/>
  <c r="G377" i="4" s="1"/>
  <c r="F378" i="4"/>
  <c r="G378" i="4" s="1"/>
  <c r="F379" i="4"/>
  <c r="G379" i="4" s="1"/>
  <c r="F380" i="4"/>
  <c r="G380" i="4" s="1"/>
  <c r="F381" i="4"/>
  <c r="G381" i="4" s="1"/>
  <c r="F382" i="4"/>
  <c r="G382" i="4" s="1"/>
  <c r="F383" i="4"/>
  <c r="G383" i="4" s="1"/>
  <c r="F384" i="4"/>
  <c r="G384" i="4" s="1"/>
  <c r="F385" i="4"/>
  <c r="G385" i="4" s="1"/>
  <c r="F386" i="4"/>
  <c r="G386" i="4" s="1"/>
  <c r="F387" i="4"/>
  <c r="G387" i="4" s="1"/>
  <c r="F388" i="4"/>
  <c r="G388" i="4" s="1"/>
  <c r="F389" i="4"/>
  <c r="G389" i="4" s="1"/>
  <c r="F390" i="4"/>
  <c r="G390" i="4" s="1"/>
  <c r="F391" i="4"/>
  <c r="G391" i="4" s="1"/>
  <c r="F392" i="4"/>
  <c r="G392" i="4" s="1"/>
  <c r="F393" i="4"/>
  <c r="G393" i="4" s="1"/>
  <c r="F394" i="4"/>
  <c r="G394" i="4" s="1"/>
  <c r="F395" i="4"/>
  <c r="G395" i="4" s="1"/>
  <c r="F396" i="4"/>
  <c r="G396" i="4" s="1"/>
  <c r="F397" i="4"/>
  <c r="G397" i="4" s="1"/>
  <c r="F398" i="4"/>
  <c r="G398" i="4" s="1"/>
  <c r="F399" i="4"/>
  <c r="G399" i="4" s="1"/>
  <c r="F400" i="4"/>
  <c r="G400" i="4" s="1"/>
  <c r="F401" i="4"/>
  <c r="G401" i="4" s="1"/>
  <c r="F402" i="4"/>
  <c r="G402" i="4" s="1"/>
  <c r="F403" i="4"/>
  <c r="G403" i="4" s="1"/>
  <c r="F404" i="4"/>
  <c r="G404" i="4" s="1"/>
  <c r="F405" i="4"/>
  <c r="G405" i="4" s="1"/>
  <c r="F406" i="4"/>
  <c r="G406" i="4" s="1"/>
  <c r="F407" i="4"/>
  <c r="G407" i="4" s="1"/>
  <c r="F408" i="4"/>
  <c r="G408" i="4" s="1"/>
  <c r="F409" i="4"/>
  <c r="G409" i="4" s="1"/>
  <c r="F410" i="4"/>
  <c r="G410" i="4" s="1"/>
  <c r="F411" i="4"/>
  <c r="G411" i="4" s="1"/>
  <c r="F412" i="4"/>
  <c r="G412" i="4" s="1"/>
  <c r="F413" i="4"/>
  <c r="G413" i="4" s="1"/>
  <c r="F414" i="4"/>
  <c r="G414" i="4" s="1"/>
  <c r="F415" i="4"/>
  <c r="G415" i="4" s="1"/>
  <c r="F416" i="4"/>
  <c r="G416" i="4" s="1"/>
  <c r="F417" i="4"/>
  <c r="G417" i="4" s="1"/>
  <c r="F418" i="4"/>
  <c r="G418" i="4" s="1"/>
  <c r="F419" i="4"/>
  <c r="G419" i="4" s="1"/>
  <c r="F420" i="4"/>
  <c r="G420" i="4" s="1"/>
  <c r="F421" i="4"/>
  <c r="G421" i="4" s="1"/>
  <c r="F422" i="4"/>
  <c r="G422" i="4" s="1"/>
  <c r="F423" i="4"/>
  <c r="G423" i="4" s="1"/>
  <c r="F424" i="4"/>
  <c r="G424" i="4" s="1"/>
  <c r="F425" i="4"/>
  <c r="G425" i="4" s="1"/>
  <c r="F426" i="4"/>
  <c r="G426" i="4" s="1"/>
  <c r="F427" i="4"/>
  <c r="G427" i="4" s="1"/>
  <c r="F428" i="4"/>
  <c r="G428" i="4" s="1"/>
  <c r="F429" i="4"/>
  <c r="G429" i="4" s="1"/>
  <c r="F430" i="4"/>
  <c r="G430" i="4" s="1"/>
  <c r="F431" i="4"/>
  <c r="G431" i="4" s="1"/>
  <c r="F432" i="4"/>
  <c r="G432" i="4" s="1"/>
  <c r="F433" i="4"/>
  <c r="G433" i="4" s="1"/>
  <c r="F434" i="4"/>
  <c r="G434" i="4" s="1"/>
  <c r="F435" i="4"/>
  <c r="G435" i="4" s="1"/>
  <c r="F436" i="4"/>
  <c r="G436" i="4" s="1"/>
  <c r="F437" i="4"/>
  <c r="G437" i="4" s="1"/>
  <c r="F438" i="4"/>
  <c r="G438" i="4" s="1"/>
  <c r="F439" i="4"/>
  <c r="G439" i="4" s="1"/>
  <c r="F440" i="4"/>
  <c r="G440" i="4" s="1"/>
  <c r="F441" i="4"/>
  <c r="G441" i="4" s="1"/>
  <c r="F442" i="4"/>
  <c r="G442" i="4" s="1"/>
  <c r="F443" i="4"/>
  <c r="G443" i="4" s="1"/>
  <c r="F444" i="4"/>
  <c r="G444" i="4" s="1"/>
  <c r="F445" i="4"/>
  <c r="G445" i="4" s="1"/>
  <c r="F446" i="4"/>
  <c r="G446" i="4" s="1"/>
  <c r="F447" i="4"/>
  <c r="G447" i="4" s="1"/>
  <c r="F448" i="4"/>
  <c r="G448" i="4" s="1"/>
  <c r="F449" i="4"/>
  <c r="G449" i="4" s="1"/>
  <c r="F450" i="4"/>
  <c r="G450" i="4" s="1"/>
  <c r="F451" i="4"/>
  <c r="G451" i="4" s="1"/>
  <c r="F452" i="4"/>
  <c r="G452" i="4" s="1"/>
  <c r="F453" i="4"/>
  <c r="G453" i="4" s="1"/>
  <c r="F454" i="4"/>
  <c r="G454" i="4" s="1"/>
  <c r="F455" i="4"/>
  <c r="G455" i="4" s="1"/>
  <c r="F456" i="4"/>
  <c r="G456" i="4" s="1"/>
  <c r="F457" i="4"/>
  <c r="G457" i="4" s="1"/>
  <c r="F458" i="4"/>
  <c r="G458" i="4" s="1"/>
  <c r="F459" i="4"/>
  <c r="G459" i="4" s="1"/>
  <c r="F460" i="4"/>
  <c r="G460" i="4" s="1"/>
  <c r="F461" i="4"/>
  <c r="G461" i="4" s="1"/>
  <c r="F462" i="4"/>
  <c r="G462" i="4" s="1"/>
  <c r="F463" i="4"/>
  <c r="G463" i="4" s="1"/>
  <c r="F464" i="4"/>
  <c r="G464" i="4" s="1"/>
  <c r="F465" i="4"/>
  <c r="G465" i="4" s="1"/>
  <c r="F466" i="4"/>
  <c r="G466" i="4" s="1"/>
  <c r="F467" i="4"/>
  <c r="G467" i="4" s="1"/>
  <c r="F468" i="4"/>
  <c r="G468" i="4" s="1"/>
  <c r="F469" i="4"/>
  <c r="G469" i="4" s="1"/>
  <c r="F470" i="4"/>
  <c r="G470" i="4" s="1"/>
  <c r="F471" i="4"/>
  <c r="G471" i="4" s="1"/>
  <c r="F472" i="4"/>
  <c r="G472" i="4" s="1"/>
  <c r="F2" i="4"/>
  <c r="J4" i="4" a="1"/>
  <c r="K3" i="2" a="1"/>
  <c r="K4" i="2" s="1"/>
  <c r="B7" i="2"/>
  <c r="B8" i="2"/>
  <c r="B9" i="2"/>
  <c r="B5" i="2"/>
  <c r="B6" i="2" s="1"/>
  <c r="K11" i="2" a="1"/>
  <c r="K9" i="2" l="1"/>
  <c r="E16" i="2"/>
  <c r="E19" i="2" s="1"/>
  <c r="H3" i="2" s="1"/>
  <c r="K5" i="2"/>
  <c r="G473" i="4"/>
  <c r="J7" i="4"/>
  <c r="J9" i="4" s="1"/>
  <c r="M6" i="4"/>
  <c r="N7" i="2" l="1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28" i="2"/>
  <c r="O28" i="2" s="1"/>
  <c r="N29" i="2"/>
  <c r="O29" i="2" s="1"/>
  <c r="N30" i="2"/>
  <c r="O30" i="2" s="1"/>
  <c r="N31" i="2"/>
  <c r="O31" i="2" s="1"/>
  <c r="N32" i="2"/>
  <c r="O32" i="2" s="1"/>
  <c r="N33" i="2"/>
  <c r="O33" i="2" s="1"/>
  <c r="N34" i="2"/>
  <c r="O34" i="2" s="1"/>
  <c r="N35" i="2"/>
  <c r="O35" i="2" s="1"/>
  <c r="N36" i="2"/>
  <c r="O36" i="2" s="1"/>
  <c r="N37" i="2"/>
  <c r="O37" i="2" s="1"/>
  <c r="N38" i="2"/>
  <c r="O38" i="2" s="1"/>
  <c r="N39" i="2"/>
  <c r="O39" i="2" s="1"/>
  <c r="N40" i="2"/>
  <c r="O40" i="2" s="1"/>
  <c r="N41" i="2"/>
  <c r="O41" i="2" s="1"/>
  <c r="N42" i="2"/>
  <c r="O42" i="2" s="1"/>
  <c r="N43" i="2"/>
  <c r="O43" i="2" s="1"/>
  <c r="N6" i="2"/>
  <c r="O6" i="2" s="1"/>
  <c r="H8" i="2"/>
  <c r="E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tc={1A44AC3B-11E1-48F2-BC71-AB3F16B81F7D}</author>
    <author>tc={172DC1C4-9103-4286-B368-3EC06035C21A}</author>
  </authors>
  <commentList>
    <comment ref="G3" authorId="0" shapeId="0" xr:uid="{1A44AC3B-11E1-48F2-BC71-AB3F16B81F7D}">
      <text>
        <t>[Threaded comment]
Your version of Excel allows you to read this threaded comment; however, any edits to it will get removed if the file is opened in a newer version of Excel. Learn more: https://go.microsoft.com/fwlink/?linkid=870924
Comment:
    Puja máxima asumiendo precio de oro estable</t>
      </text>
    </comment>
    <comment ref="G4" authorId="1" shapeId="0" xr:uid="{172DC1C4-9103-4286-B368-3EC06035C21A}">
      <text>
        <t>[Threaded comment]
Your version of Excel allows you to read this threaded comment; however, any edits to it will get removed if the file is opened in a newer version of Excel. Learn more: https://go.microsoft.com/fwlink/?linkid=870924
Comment:
    Puja máxima asumiendo max. drawdown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C8AEBA-3B38-4218-B055-9D580E1ED80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75C90362-61E8-4414-BBF6-62077DD6F657}" keepAlive="1" name="Query - TRM_20260902" description="Connection to the 'TRM_20260902' query in the workbook." type="5" refreshedVersion="0" background="1" saveData="1">
    <dbPr connection="Provider=Microsoft.Mashup.OleDb.1;Data Source=$Workbook$;Location=TRM_20260902;Extended Properties=&quot;&quot;" command="SELECT * FROM [TRM_20260902]"/>
  </connection>
  <connection id="3" xr16:uid="{8E5E0BE5-61BE-49E3-A247-F4D0A9833702}" keepAlive="1" name="Query - TRM_20260902 (2)" description="Connection to the 'TRM_20260902 (2)' query in the workbook." type="5" refreshedVersion="8" background="1" saveData="1">
    <dbPr connection="Provider=Microsoft.Mashup.OleDb.1;Data Source=$Workbook$;Location=&quot;TRM_20260902 (2)&quot;;Extended Properties=&quot;&quot;" command="SELECT * FROM [TRM_20260902 (2)]"/>
  </connection>
  <connection id="4" xr16:uid="{C0FE7F52-30F1-410C-810E-8847D942AFCA}" keepAlive="1" name="Query - XAU-USD" description="Connection to the 'XAU-USD' query in the workbook." type="5" refreshedVersion="0" background="1" saveData="1">
    <dbPr connection="Provider=Microsoft.Mashup.OleDb.1;Data Source=$Workbook$;Location=XAU-USD;Extended Properties=&quot;&quot;" command="SELECT * FROM [XAU-USD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9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<sst xmlns="http://schemas.openxmlformats.org/spreadsheetml/2006/main" count="59" uniqueCount="49">
  <si>
    <t>Peso (g)</t>
  </si>
  <si>
    <t>Pureza (k)</t>
  </si>
  <si>
    <t>Tiempo de entrega (días)</t>
  </si>
  <si>
    <t>Item(s)</t>
  </si>
  <si>
    <t>Fees SAE</t>
  </si>
  <si>
    <t>Fees Venta física</t>
  </si>
  <si>
    <t>Puja Máxima</t>
  </si>
  <si>
    <t>Puja Máxima ajustada a riesgo</t>
  </si>
  <si>
    <t>Sí</t>
  </si>
  <si>
    <t>Utilidad alcanzada</t>
  </si>
  <si>
    <t>No</t>
  </si>
  <si>
    <t>Fecha</t>
  </si>
  <si>
    <t>XAU/USD Close</t>
  </si>
  <si>
    <t>TRM USD</t>
  </si>
  <si>
    <t>FECHA</t>
  </si>
  <si>
    <t>Troy oz</t>
  </si>
  <si>
    <t>*24k</t>
  </si>
  <si>
    <t>XAU/COP_t / gramo</t>
  </si>
  <si>
    <t>Log ret</t>
  </si>
  <si>
    <t>Volatilidad anualizada</t>
  </si>
  <si>
    <t>dias</t>
  </si>
  <si>
    <t>Tasa de interés E.A.</t>
  </si>
  <si>
    <t>Valor neto lote</t>
  </si>
  <si>
    <t>COP</t>
  </si>
  <si>
    <t>Spot oro (g) (USD)</t>
  </si>
  <si>
    <t>Spot oro (g) (COP)</t>
  </si>
  <si>
    <t>Costo de deuda</t>
  </si>
  <si>
    <t>Margen deseada ($)</t>
  </si>
  <si>
    <t>1. Características del lote</t>
  </si>
  <si>
    <t>2. Margen en lote</t>
  </si>
  <si>
    <t>Volatilidad Oro anualizada</t>
  </si>
  <si>
    <t>Inputs mercado</t>
  </si>
  <si>
    <t>Plazo repago de deuda</t>
  </si>
  <si>
    <t>Calculadora de utilidad</t>
  </si>
  <si>
    <t>% Valor Puja</t>
  </si>
  <si>
    <t>Puja actual</t>
  </si>
  <si>
    <t>3. Costos de transacción</t>
  </si>
  <si>
    <t>Utilidad real alcanzada</t>
  </si>
  <si>
    <t>Date</t>
  </si>
  <si>
    <t>Oz</t>
  </si>
  <si>
    <t>Gram</t>
  </si>
  <si>
    <t>Log Ret</t>
  </si>
  <si>
    <t>Log</t>
  </si>
  <si>
    <t>Metal</t>
  </si>
  <si>
    <t>Oro</t>
  </si>
  <si>
    <t>Platino</t>
  </si>
  <si>
    <t>Spot platino (g) (USD)</t>
  </si>
  <si>
    <t>Volatilidad platino anualizada</t>
  </si>
  <si>
    <t>Spot platino (g) (COP)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</si>
</sst>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$-240A]\ #,##0.00"/>
    <numFmt numFmtId="165" formatCode="_-[$$-1009]* #,##0.00_-;\-[$$-1009]* #,##0.00_-;_-[$$-1009]* &quot;-&quot;??_-;_-@_-"/>
    <numFmt numFmtId="166" formatCode="_([$$-540A]* #,##0.00_);_([$$-540A]* \(#,##0.00\);_([$$-540A]* &quot;-&quot;??_);_(@_)"/>
    <numFmt numFmtId="167" formatCode="[$$-409]#,##0.000_);\([$$-409]#,##0.000\)"/>
    <numFmt numFmtId="168" formatCode="&quot;$&quot;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6FCF4D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68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1" xfId="0" applyFont="1" applyFill="1" applyBorder="1"/>
    <xf numFmtId="0" fontId="4" fillId="2" borderId="4" xfId="0" applyFont="1" applyFill="1" applyBorder="1"/>
    <xf numFmtId="0" fontId="3" fillId="2" borderId="5" xfId="0" applyFont="1" applyFill="1" applyBorder="1" applyAlignment="1">
      <alignment horizontal="center"/>
    </xf>
    <xf numFmtId="0" fontId="4" fillId="2" borderId="6" xfId="0" applyFont="1" applyFill="1" applyBorder="1"/>
    <xf numFmtId="0" fontId="3" fillId="2" borderId="5" xfId="0" applyFont="1" applyFill="1" applyBorder="1"/>
    <xf numFmtId="0" fontId="3" fillId="2" borderId="7" xfId="0" applyFont="1" applyFill="1" applyBorder="1"/>
    <xf numFmtId="0" fontId="3" fillId="2" borderId="2" xfId="0" applyFont="1" applyFill="1" applyBorder="1"/>
    <xf numFmtId="10" fontId="3" fillId="2" borderId="0" xfId="0" applyNumberFormat="1" applyFont="1" applyFill="1"/>
    <xf numFmtId="0" fontId="3" fillId="2" borderId="3" xfId="0" applyFont="1" applyFill="1" applyBorder="1"/>
    <xf numFmtId="10" fontId="4" fillId="2" borderId="4" xfId="0" applyNumberFormat="1" applyFont="1" applyFill="1" applyBorder="1"/>
    <xf numFmtId="10" fontId="4" fillId="2" borderId="8" xfId="0" applyNumberFormat="1" applyFont="1" applyFill="1" applyBorder="1"/>
    <xf numFmtId="164" fontId="3" fillId="2" borderId="0" xfId="0" applyNumberFormat="1" applyFont="1" applyFill="1"/>
    <xf numFmtId="164" fontId="1" fillId="2" borderId="5" xfId="0" applyNumberFormat="1" applyFont="1" applyFill="1" applyBorder="1"/>
    <xf numFmtId="0" fontId="1" fillId="2" borderId="5" xfId="0" applyFont="1" applyFill="1" applyBorder="1"/>
    <xf numFmtId="14" fontId="0" fillId="2" borderId="0" xfId="0" applyNumberFormat="1" applyFill="1"/>
    <xf numFmtId="168" fontId="0" fillId="2" borderId="0" xfId="0" applyNumberFormat="1" applyFill="1"/>
    <xf numFmtId="166" fontId="0" fillId="2" borderId="0" xfId="0" applyNumberFormat="1" applyFill="1"/>
    <xf numFmtId="10" fontId="0" fillId="2" borderId="0" xfId="0" applyNumberFormat="1" applyFill="1"/>
    <xf numFmtId="168" fontId="1" fillId="2" borderId="0" xfId="0" applyNumberFormat="1" applyFont="1" applyFill="1"/>
    <xf numFmtId="164" fontId="1" fillId="2" borderId="0" xfId="0" applyNumberFormat="1" applyFont="1" applyFill="1"/>
    <xf numFmtId="0" fontId="1" fillId="2" borderId="3" xfId="0" applyFont="1" applyFill="1" applyBorder="1"/>
    <xf numFmtId="0" fontId="1" fillId="2" borderId="4" xfId="0" applyFont="1" applyFill="1" applyBorder="1"/>
    <xf numFmtId="14" fontId="0" fillId="2" borderId="5" xfId="0" applyNumberFormat="1" applyFill="1" applyBorder="1"/>
    <xf numFmtId="0" fontId="0" fillId="2" borderId="6" xfId="0" applyFill="1" applyBorder="1"/>
    <xf numFmtId="14" fontId="1" fillId="2" borderId="5" xfId="0" applyNumberFormat="1" applyFont="1" applyFill="1" applyBorder="1"/>
    <xf numFmtId="0" fontId="1" fillId="2" borderId="6" xfId="0" applyFont="1" applyFill="1" applyBorder="1"/>
    <xf numFmtId="14" fontId="0" fillId="2" borderId="7" xfId="0" applyNumberFormat="1" applyFill="1" applyBorder="1"/>
    <xf numFmtId="0" fontId="0" fillId="2" borderId="8" xfId="0" applyFill="1" applyBorder="1"/>
    <xf numFmtId="10" fontId="4" fillId="2" borderId="6" xfId="0" applyNumberFormat="1" applyFont="1" applyFill="1" applyBorder="1"/>
    <xf numFmtId="9" fontId="4" fillId="2" borderId="6" xfId="0" applyNumberFormat="1" applyFont="1" applyFill="1" applyBorder="1"/>
    <xf numFmtId="164" fontId="7" fillId="2" borderId="8" xfId="0" applyNumberFormat="1" applyFont="1" applyFill="1" applyBorder="1"/>
    <xf numFmtId="44" fontId="8" fillId="2" borderId="8" xfId="0" applyNumberFormat="1" applyFont="1" applyFill="1" applyBorder="1"/>
    <xf numFmtId="165" fontId="7" fillId="2" borderId="4" xfId="0" applyNumberFormat="1" applyFont="1" applyFill="1" applyBorder="1"/>
    <xf numFmtId="44" fontId="7" fillId="2" borderId="6" xfId="0" applyNumberFormat="1" applyFont="1" applyFill="1" applyBorder="1"/>
    <xf numFmtId="165" fontId="7" fillId="2" borderId="6" xfId="0" applyNumberFormat="1" applyFont="1" applyFill="1" applyBorder="1"/>
    <xf numFmtId="10" fontId="7" fillId="2" borderId="8" xfId="0" applyNumberFormat="1" applyFont="1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7" xfId="0" applyFill="1" applyBorder="1"/>
    <xf numFmtId="10" fontId="5" fillId="4" borderId="0" xfId="1" applyNumberFormat="1"/>
    <xf numFmtId="44" fontId="3" fillId="2" borderId="0" xfId="0" applyNumberFormat="1" applyFont="1" applyFill="1" applyAlignment="1">
      <alignment horizontal="center"/>
    </xf>
    <xf numFmtId="164" fontId="4" fillId="2" borderId="4" xfId="0" applyNumberFormat="1" applyFont="1" applyFill="1" applyBorder="1"/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14" fontId="0" fillId="0" borderId="0" xfId="0" applyNumberFormat="1"/>
    <xf numFmtId="0" fontId="1" fillId="0" borderId="0" xfId="0" applyFont="1"/>
    <xf numFmtId="44" fontId="0" fillId="0" borderId="0" xfId="0" applyNumberFormat="1"/>
    <xf numFmtId="10" fontId="0" fillId="0" borderId="0" xfId="0" applyNumberFormat="1"/>
    <xf numFmtId="0" fontId="4" fillId="2" borderId="0" xfId="0" applyFont="1" applyFill="1" applyBorder="1"/>
    <xf numFmtId="167" fontId="3" fillId="2" borderId="9" xfId="0" applyNumberFormat="1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6" fontId="7" fillId="2" borderId="4" xfId="0" applyNumberFormat="1" applyFont="1" applyFill="1" applyBorder="1"/>
    <xf numFmtId="166" fontId="7" fillId="2" borderId="6" xfId="0" applyNumberFormat="1" applyFont="1" applyFill="1" applyBorder="1"/>
    <xf numFmtId="0" fontId="7" fillId="2" borderId="8" xfId="0" applyFont="1" applyFill="1" applyBorder="1"/>
    <xf numFmtId="0" fontId="3" fillId="2" borderId="0" xfId="0" applyFont="1" applyFill="1" applyBorder="1"/>
    <xf numFmtId="164" fontId="3" fillId="2" borderId="4" xfId="0" applyNumberFormat="1" applyFont="1" applyFill="1" applyBorder="1"/>
    <xf numFmtId="164" fontId="3" fillId="2" borderId="8" xfId="0" applyNumberFormat="1" applyFont="1" applyFill="1" applyBorder="1"/>
    <xf numFmtId="10" fontId="5" fillId="4" borderId="8" xfId="1" applyNumberFormat="1" applyBorder="1"/>
  </cellXfs>
  <cellStyles count="2">
    <cellStyle name="Good" xfId="1" builtinId="26"/>
    <cellStyle name="Normal" xfId="0" builtinId="0"/>
  </cellStyles>
  <dxfs count="11"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</dxfs>
  <tableStyles count="0" defaultTableStyle="TableStyleMedium2" defaultPivotStyle="PivotStyleLight16"/>
  <colors>
    <mruColors>
      <color rgb="FF6FCF4D"/>
      <color rgb="FF0000FF"/>
      <color rgb="FF43FF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SupportingPropertyBagStructure" Target="richData/rdsupportingpropertybagstructure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styles" Target="styles.xml"/><Relationship Id="rId12" Type="http://schemas.microsoft.com/office/2017/06/relationships/richStyles" Target="richData/richStyle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microsoft.com/office/2017/06/relationships/rdRichValueTypes" Target="richData/rdRichValueTypes.xml"/><Relationship Id="rId10" Type="http://schemas.microsoft.com/office/2017/06/relationships/rdRichValue" Target="richData/rdrichvalue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" Target="richData/rdsupporting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'Puja Máxima'!$O$5</c:f>
              <c:strCache>
                <c:ptCount val="1"/>
                <c:pt idx="0">
                  <c:v>Utilidad alcanzada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'Puja Máxima'!$N$6:$N$43</c:f>
              <c:numCache>
                <c:formatCode>[$$-240A]\ #,##0.00</c:formatCode>
                <c:ptCount val="38"/>
                <c:pt idx="0">
                  <c:v>7936669.7326778565</c:v>
                </c:pt>
                <c:pt idx="1">
                  <c:v>8068947.5615558205</c:v>
                </c:pt>
                <c:pt idx="2">
                  <c:v>8201225.3904337855</c:v>
                </c:pt>
                <c:pt idx="3">
                  <c:v>8333503.2193117496</c:v>
                </c:pt>
                <c:pt idx="4">
                  <c:v>8465781.0481897146</c:v>
                </c:pt>
                <c:pt idx="5">
                  <c:v>8598058.8770676777</c:v>
                </c:pt>
                <c:pt idx="6">
                  <c:v>8730336.7059456427</c:v>
                </c:pt>
                <c:pt idx="7">
                  <c:v>8862614.5348236077</c:v>
                </c:pt>
                <c:pt idx="8">
                  <c:v>8994892.3637015726</c:v>
                </c:pt>
                <c:pt idx="9">
                  <c:v>9127170.1925795358</c:v>
                </c:pt>
                <c:pt idx="10">
                  <c:v>9259448.0214575008</c:v>
                </c:pt>
                <c:pt idx="11">
                  <c:v>9391725.8503354657</c:v>
                </c:pt>
                <c:pt idx="12">
                  <c:v>9524003.6792134289</c:v>
                </c:pt>
                <c:pt idx="13">
                  <c:v>9656281.5080913939</c:v>
                </c:pt>
                <c:pt idx="14">
                  <c:v>9788559.3369693588</c:v>
                </c:pt>
                <c:pt idx="15">
                  <c:v>9920837.165847322</c:v>
                </c:pt>
                <c:pt idx="16">
                  <c:v>10053114.994725287</c:v>
                </c:pt>
                <c:pt idx="17">
                  <c:v>10185392.823603252</c:v>
                </c:pt>
                <c:pt idx="18">
                  <c:v>10317670.652481215</c:v>
                </c:pt>
                <c:pt idx="19">
                  <c:v>10449948.48135918</c:v>
                </c:pt>
                <c:pt idx="20">
                  <c:v>10582226.310237145</c:v>
                </c:pt>
                <c:pt idx="21">
                  <c:v>10714504.139115108</c:v>
                </c:pt>
                <c:pt idx="22">
                  <c:v>10846781.967993073</c:v>
                </c:pt>
                <c:pt idx="23">
                  <c:v>10979059.796871038</c:v>
                </c:pt>
                <c:pt idx="24">
                  <c:v>11111337.625749001</c:v>
                </c:pt>
                <c:pt idx="25">
                  <c:v>11243615.454626966</c:v>
                </c:pt>
                <c:pt idx="26">
                  <c:v>11375893.283504931</c:v>
                </c:pt>
                <c:pt idx="27">
                  <c:v>11508171.112382894</c:v>
                </c:pt>
                <c:pt idx="28">
                  <c:v>11640448.941260859</c:v>
                </c:pt>
                <c:pt idx="29">
                  <c:v>11772726.770138824</c:v>
                </c:pt>
                <c:pt idx="30">
                  <c:v>11905004.599016789</c:v>
                </c:pt>
                <c:pt idx="31">
                  <c:v>12037282.427894752</c:v>
                </c:pt>
                <c:pt idx="32">
                  <c:v>12169560.256772717</c:v>
                </c:pt>
                <c:pt idx="33">
                  <c:v>12301838.085650682</c:v>
                </c:pt>
                <c:pt idx="34">
                  <c:v>12434115.914528646</c:v>
                </c:pt>
                <c:pt idx="35">
                  <c:v>12566393.743406611</c:v>
                </c:pt>
                <c:pt idx="36">
                  <c:v>12698671.572284576</c:v>
                </c:pt>
                <c:pt idx="37">
                  <c:v>12830949.401162539</c:v>
                </c:pt>
              </c:numCache>
            </c:numRef>
          </c:cat>
          <c:val>
            <c:numRef>
              <c:f>'Puja Máxima'!$O$6:$O$43</c:f>
              <c:numCache>
                <c:formatCode>0.00%</c:formatCode>
                <c:ptCount val="38"/>
                <c:pt idx="0">
                  <c:v>0.66666666666666674</c:v>
                </c:pt>
                <c:pt idx="1">
                  <c:v>0.63934426229508201</c:v>
                </c:pt>
                <c:pt idx="2">
                  <c:v>0.61290322580645151</c:v>
                </c:pt>
                <c:pt idx="3">
                  <c:v>0.58730158730158721</c:v>
                </c:pt>
                <c:pt idx="4">
                  <c:v>0.5625</c:v>
                </c:pt>
                <c:pt idx="5">
                  <c:v>0.53846153846153855</c:v>
                </c:pt>
                <c:pt idx="6">
                  <c:v>0.51515151515151514</c:v>
                </c:pt>
                <c:pt idx="7">
                  <c:v>0.49253731343283569</c:v>
                </c:pt>
                <c:pt idx="8">
                  <c:v>0.47058823529411731</c:v>
                </c:pt>
                <c:pt idx="9">
                  <c:v>0.44927536231884058</c:v>
                </c:pt>
                <c:pt idx="10">
                  <c:v>0.42857142857142838</c:v>
                </c:pt>
                <c:pt idx="11">
                  <c:v>0.40845070422535179</c:v>
                </c:pt>
                <c:pt idx="12">
                  <c:v>0.38888888888888884</c:v>
                </c:pt>
                <c:pt idx="13">
                  <c:v>0.36986301369862984</c:v>
                </c:pt>
                <c:pt idx="14">
                  <c:v>0.35135135135135109</c:v>
                </c:pt>
                <c:pt idx="15">
                  <c:v>0.33333333333333326</c:v>
                </c:pt>
                <c:pt idx="16">
                  <c:v>0.3157894736842104</c:v>
                </c:pt>
                <c:pt idx="17">
                  <c:v>0.29870129870129847</c:v>
                </c:pt>
                <c:pt idx="18">
                  <c:v>0.28205128205128194</c:v>
                </c:pt>
                <c:pt idx="19">
                  <c:v>0.26582278481012644</c:v>
                </c:pt>
                <c:pt idx="20">
                  <c:v>0.24999999999999978</c:v>
                </c:pt>
                <c:pt idx="21">
                  <c:v>0.23456790123456783</c:v>
                </c:pt>
                <c:pt idx="22">
                  <c:v>0.21951219512195097</c:v>
                </c:pt>
                <c:pt idx="23">
                  <c:v>0.2048192771084334</c:v>
                </c:pt>
                <c:pt idx="24">
                  <c:v>0.19047619047619024</c:v>
                </c:pt>
                <c:pt idx="25">
                  <c:v>0.17647058823529393</c:v>
                </c:pt>
                <c:pt idx="26">
                  <c:v>0.16279069767441823</c:v>
                </c:pt>
                <c:pt idx="27">
                  <c:v>0.14942528735632155</c:v>
                </c:pt>
                <c:pt idx="28">
                  <c:v>0.13636363636363602</c:v>
                </c:pt>
                <c:pt idx="29">
                  <c:v>0.12359550561797716</c:v>
                </c:pt>
                <c:pt idx="30">
                  <c:v>0.11111111111111072</c:v>
                </c:pt>
                <c:pt idx="31">
                  <c:v>9.890109890109855E-2</c:v>
                </c:pt>
                <c:pt idx="32">
                  <c:v>8.6956521739130155E-2</c:v>
                </c:pt>
                <c:pt idx="33">
                  <c:v>7.5268817204300786E-2</c:v>
                </c:pt>
                <c:pt idx="34">
                  <c:v>6.3829787234042312E-2</c:v>
                </c:pt>
                <c:pt idx="35">
                  <c:v>5.2631578947368141E-2</c:v>
                </c:pt>
                <c:pt idx="36">
                  <c:v>4.1666666666666297E-2</c:v>
                </c:pt>
                <c:pt idx="37">
                  <c:v>3.092783505154606E-2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BF-4227-8718-5CCBFDBD0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553247"/>
        <c:axId val="1710098256"/>
      </c:lineChart>
      <c:catAx>
        <c:axId val="448553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Valor de puja actual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240A]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098256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7100982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UTilidadad</a:t>
                </a:r>
                <a:r>
                  <a:rPr lang="en-US" baseline="0"/>
                  <a:t> alcanzada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5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546779</xdr:colOff>
      <xdr:row>3</xdr:row>
      <xdr:rowOff>129152</xdr:rowOff>
    </xdr:from>
    <xdr:to>
      <xdr:col>26</xdr:col>
      <xdr:colOff>556970</xdr:colOff>
      <xdr:row>27</xdr:row>
      <xdr:rowOff>80720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75616F-CE8C-D426-6CFF-71FDF3A75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io Haya" id="{A5693ED4-9E73-4C86-80DF-EBC5E2D92E45}" userId="974535636cde466b" providerId="Windows Live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10">
  <rv s="0">
    <v>https://www.bing.com/financeapi/forcetrigger?t=auvwoc&amp;q=Gold&amp;form=skydnc</v>
    <v>Learn more on Bing</v>
  </rv>
  <rv s="1">
    <v>en-US</v>
    <v>auvwoc</v>
    <v>268435456</v>
    <v>1</v>
    <v>Powered by Refinitiv</v>
    <v>0</v>
    <v>Gold</v>
    <v>2</v>
    <v>3</v>
    <v>Finance</v>
    <v>Metal</v>
    <v>101.8</v>
    <v>2.3060000000000001E-2</v>
    <v>US</v>
    <v>USD</v>
    <v>43830</v>
    <v>Future</v>
    <v>46268.572249837503</v>
    <v>0</v>
    <v>12</v>
    <v>Gold</v>
    <v>4516.3999999999996</v>
    <v>@GC0Y</v>
    <v>OZS</v>
    <v>Gold</v>
    <v>2019</v>
  </rv>
  <rv s="2">
    <v>1</v>
  </rv>
  <rv s="0">
    <v>https://www.bing.com/financeapi/forcetrigger?t=auvwu2&amp;q=Platinum&amp;form=skydnc</v>
    <v>Learn more on Bing</v>
  </rv>
  <rv s="1">
    <v>en-US</v>
    <v>auvwu2</v>
    <v>268435456</v>
    <v>1</v>
    <v>Powered by Refinitiv</v>
    <v>0</v>
    <v>Platinum</v>
    <v>2</v>
    <v>3</v>
    <v>Finance</v>
    <v>Metal</v>
    <v>38.6</v>
    <v>2.1874999999999999E-2</v>
    <v>US</v>
    <v>USD</v>
    <v>43861</v>
    <v>Future</v>
    <v>46268.572142835153</v>
    <v>3</v>
    <v>1</v>
    <v>Platinum</v>
    <v>1803.2</v>
    <v>@PL0Y</v>
    <v>OZS</v>
    <v>Platinum</v>
    <v>2020</v>
  </rv>
  <rv s="2">
    <v>4</v>
  </rv>
  <rv s="3">
    <v>en-US</v>
    <v>avyma2</v>
    <v>268435456</v>
    <v>1</v>
    <v>Powered by Refinitiv</v>
    <v>4</v>
    <v>USD/COP</v>
    <v>5</v>
    <v>6</v>
    <v>Finance</v>
    <v>7</v>
    <v>4039.78</v>
    <v>3022</v>
    <v>-3.03</v>
    <v>-9.611E-4</v>
    <v>COP</v>
    <v>USD</v>
    <v>3160.74</v>
    <v>Currency Pair</v>
    <v>46268.579155092593</v>
    <v>3136.2</v>
    <v>US Dollar/Colombian Peso FX Spot Rate</v>
    <v>3151.75</v>
    <v>3152.5</v>
    <v>3149.47</v>
    <v>USDCOP</v>
    <v>USD/COP</v>
  </rv>
  <rv s="2">
    <v>6</v>
  </rv>
  <rv s="4">
    <v>en-US</v>
    <v>d8w3nm</v>
    <v>268435456</v>
    <v>1</v>
    <v>Powered by Refinitiv</v>
    <v>8</v>
    <v>Colombia 6M</v>
    <v>5</v>
    <v>9</v>
    <v>Finance</v>
    <v>7</v>
    <v>1E-3</v>
    <v>7.6229999999999994E-5</v>
    <v>CO</v>
    <v>COP</v>
    <v>Bond</v>
    <v>46268.462071759262</v>
    <v>46413</v>
    <v>Colombia 6M</v>
    <v>13.119</v>
    <v>13.12</v>
    <v>CO6M</v>
    <v>Colombia 6M</v>
    <v>0.1195</v>
    <v>0.12929000000000002</v>
    <v>0.13119999999999998</v>
  </rv>
  <rv s="2">
    <v>8</v>
  </rv>
</rvData>
</file>

<file path=xl/richData/rdrichvaluestructure.xml><?xml version="1.0" encoding="utf-8"?>
<rvStructures xmlns="http://schemas.microsoft.com/office/spreadsheetml/2017/richdata" count="5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Category" t="s"/>
    <k n="Change"/>
    <k n="Change (%)"/>
    <k n="Country/region" t="s"/>
    <k n="Currency" t="s"/>
    <k n="Expiration Date"/>
    <k n="Instrument type" t="s"/>
    <k n="Last trade time"/>
    <k n="LearnMoreOnLink" t="r"/>
    <k n="Month"/>
    <k n="Name" t="s"/>
    <k n="Price"/>
    <k n="Ticker symbol" t="s"/>
    <k n="Trade Unit" t="s"/>
    <k n="UniqueName" t="s"/>
    <k n="Year"/>
  </s>
  <s t="_linkedentity">
    <k n="%cvi" t="r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Change"/>
    <k n="Change (%)"/>
    <k n="Country/region" t="s"/>
    <k n="Currency" t="s"/>
    <k n="Instrument type" t="s"/>
    <k n="Last trade time"/>
    <k n="Maturity"/>
    <k n="Name" t="s"/>
    <k n="Previous close"/>
    <k n="Price"/>
    <k n="Ticker symbol" t="s"/>
    <k n="UniqueName" t="s"/>
    <k n="Yield last month"/>
    <k n="Yield last week"/>
    <k n="Yield yesterday"/>
  </s>
</rvStructures>
</file>

<file path=xl/richData/rdsupportingpropertybag.xml><?xml version="1.0" encoding="utf-8"?>
<supportingPropertyBags xmlns="http://schemas.microsoft.com/office/spreadsheetml/2017/richdata2">
  <spbArrays count="3">
    <a count="26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Last trade time</v>
      <v t="s">Ticker symbol</v>
      <v t="s">Change</v>
      <v t="s">Change (%)</v>
      <v t="s">Currency</v>
      <v t="s">Category</v>
      <v t="s">Expiration Date</v>
      <v t="s">Trade Unit</v>
      <v t="s">Year</v>
      <v t="s">Month</v>
      <v t="s">Country/region</v>
      <v t="s">Instrument type</v>
      <v t="s">_Flags</v>
      <v t="s">UniqueName</v>
      <v t="s">_DisplayString</v>
      <v t="s">LearnMoreOnLink</v>
      <v t="s">%ProviderInfo</v>
    </a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  <a count="26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Previous close</v>
      <v t="s">Yield yesterday</v>
      <v t="s">Yield last week</v>
      <v t="s">Yield last month</v>
      <v t="s">Maturity</v>
      <v t="s">Country/region</v>
      <v t="s">Instrument type</v>
      <v t="s">_Flags</v>
      <v t="s">UniqueName</v>
      <v t="s">_DisplayString</v>
      <v t="s">%ProviderInfo</v>
    </a>
  </spbArrays>
  <spbData count="10">
    <spb s="0">
      <v>0</v>
      <v>Name</v>
      <v>LearnMoreOnLink</v>
    </spb>
    <spb s="1">
      <v>0</v>
      <v>0</v>
      <v>0</v>
    </spb>
    <spb s="2">
      <v>1</v>
      <v>1</v>
      <v>1</v>
    </spb>
    <spb s="3">
      <v>1</v>
      <v>2</v>
      <v>2</v>
      <v>3</v>
      <v>3</v>
      <v>4</v>
      <v>5</v>
      <v>6</v>
      <v>7</v>
    </spb>
    <spb s="4">
      <v>1</v>
      <v>Name</v>
    </spb>
    <spb s="5">
      <v>1</v>
      <v>1</v>
    </spb>
    <spb s="6">
      <v>8</v>
      <v>8</v>
      <v>1</v>
      <v>8</v>
      <v>8</v>
      <v>8</v>
      <v>4</v>
      <v>8</v>
      <v>8</v>
      <v>8</v>
      <v>6</v>
      <v>7</v>
    </spb>
    <spb s="7">
      <v>GMT</v>
    </spb>
    <spb s="4">
      <v>2</v>
      <v>Name</v>
    </spb>
    <spb s="8">
      <v>1</v>
      <v>8</v>
      <v>8</v>
      <v>5</v>
      <v>4</v>
      <v>8</v>
      <v>6</v>
      <v>4</v>
      <v>4</v>
      <v>4</v>
      <v>7</v>
    </spb>
  </spbData>
</supportingPropertyBags>
</file>

<file path=xl/richData/rdsupportingpropertybagstructure.xml><?xml version="1.0" encoding="utf-8"?>
<spbStructures xmlns="http://schemas.microsoft.com/office/spreadsheetml/2017/richdata2" count="9"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`%ProviderInfo" t="spb"/>
    <k n="LearnMoreOnLink" t="spb"/>
  </s>
  <s>
    <k n="Name" t="i"/>
    <k n="Year" t="i"/>
    <k n="Month" t="i"/>
    <k n="Price" t="i"/>
    <k n="Change" t="i"/>
    <k n="Change (%)" t="i"/>
    <k n="Expiration Date" t="i"/>
    <k n="Last trade time" t="i"/>
    <k n="`%EntityServiceId" t="i"/>
  </s>
  <s>
    <k n="^Order" t="spba"/>
    <k n="TitleProperty" t="s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  <s>
    <k n="Name" t="i"/>
    <k n="Price" t="i"/>
    <k n="Change" t="i"/>
    <k n="Maturity" t="i"/>
    <k n="Change (%)" t="i"/>
    <k n="Previous close" t="i"/>
    <k n="Last trade time" t="i"/>
    <k n="Yield last week" t="i"/>
    <k n="Yield yesterday" t="i"/>
    <k n="Yield last month" t="i"/>
    <k n="`%EntityServiceId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6">
    <x:dxf>
      <x:numFmt numFmtId="2" formatCode="0.00"/>
    </x:dxf>
    <x:dxf>
      <x:numFmt numFmtId="0" formatCode="General"/>
    </x:dxf>
    <x:dxf>
      <x:numFmt numFmtId="27" formatCode="m/d/yyyy\ h:mm"/>
    </x:dxf>
    <x:dxf>
      <x:numFmt numFmtId="14" formatCode="0.00%"/>
    </x:dxf>
    <x:dxf>
      <x:numFmt numFmtId="1" formatCode="0"/>
    </x:dxf>
    <x:dxf>
      <x:numFmt numFmtId="19" formatCode="m/d/yyyy"/>
    </x:dxf>
  </dxfs>
  <richProperties>
    <rPr n="IsTitleField" t="b"/>
    <rPr n="NumberFormat" t="s"/>
  </richProperties>
  <richStyles>
    <rSty>
      <rpv i="0">1</rpv>
    </rSty>
    <rSty dxfid="4">
      <rpv i="1">0</rpv>
    </rSty>
    <rSty dxfid="1">
      <rpv i="1">_([$$-es-US]* #,##0.00_);_([$$-es-US]* (#,##0.00);_([$$-es-US]* "-"??_);_(@_)</rpv>
    </rSty>
    <rSty dxfid="3"/>
    <rSty dxfid="5"/>
    <rSty dxfid="2"/>
    <rSty dxfid="0">
      <rpv i="1">0.00</rpv>
    </rSty>
    <rSty dxfid="1">
      <rpv i="1">_-[$$-es-CO] * #,##0.00_-;-[$$-es-CO] * #,##0.00_-;_-[$$-es-CO] * "-"??_-;_-@_-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372FC6-3259-4811-A4D8-A8487585C2EC}" name="Table1" displayName="Table1" ref="I1:K473" totalsRowShown="0">
  <autoFilter ref="I1:K473" xr:uid="{03372FC6-3259-4811-A4D8-A8487585C2EC}"/>
  <tableColumns count="3">
    <tableColumn id="1" xr3:uid="{035FA188-A838-43AF-8CC0-EF92E38CAFD5}" name="Date" dataDxfId="10"/>
    <tableColumn id="2" xr3:uid="{BB483C65-4D38-4330-B3C8-9C1BFFEE944E}" name="Oz" dataDxfId="9">
      <calculatedColumnFormula>E2*_xlfn.XLOOKUP(I2,$A$2:$A$504,$B$2:$B$504)</calculatedColumnFormula>
    </tableColumn>
    <tableColumn id="3" xr3:uid="{B671D621-562B-49FE-8F7D-5213FAC9B3DF}" name="Gram" dataDxfId="8">
      <calculatedColumnFormula>J2/$Q$2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51F83D-F976-4F40-B450-CE24CE43C5A6}" name="Table3" displayName="Table3" ref="C1:F367" totalsRowShown="0">
  <autoFilter ref="C1:F367" xr:uid="{6451F83D-F976-4F40-B450-CE24CE43C5A6}"/>
  <sortState xmlns:xlrd2="http://schemas.microsoft.com/office/spreadsheetml/2017/richdata2" ref="C2:E367">
    <sortCondition ref="C1:C367"/>
  </sortState>
  <tableColumns count="4">
    <tableColumn id="1" xr3:uid="{E8B6CD06-8867-4322-B825-307CAB47C047}" name="Date" dataDxfId="7"/>
    <tableColumn id="2" xr3:uid="{FA3D7BB6-DF93-4129-9477-3B786B2D83ED}" name="Oz" dataDxfId="6"/>
    <tableColumn id="3" xr3:uid="{E9A91E0F-A2D7-45AE-8C25-2EFA9337826F}" name="Gram" dataDxfId="5"/>
    <tableColumn id="4" xr3:uid="{B8A44ABB-D129-4D84-B91D-AD0F9B222E4E}" name="Log" dataDxfId="4">
      <calculatedColumnFormula>LN(Table3[[#This Row],[Gram]]/E1)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6-09-02T18:00:32.19" personId="{A5693ED4-9E73-4C86-80DF-EBC5E2D92E45}" id="{1A44AC3B-11E1-48F2-BC71-AB3F16B81F7D}">
    <text>Puja máxima asumiendo precio de oro estable</text>
  </threadedComment>
  <threadedComment ref="G4" dT="2026-09-02T18:00:40.91" personId="{A5693ED4-9E73-4C86-80DF-EBC5E2D92E45}" id="{172DC1C4-9103-4286-B368-3EC06035C21A}">
    <text>Puja máxima asumiendo max. drawdown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83A0-653B-4ABF-BAFF-54480B443736}">
  <dimension ref="A2:O43"/>
  <sheetViews>
    <sheetView tabSelected="1" zoomScale="118" zoomScaleNormal="118" workbookViewId="0">
      <selection activeCell="G14" sqref="G14"/>
    </sheetView>
  </sheetViews>
  <sheetFormatPr defaultColWidth="9" defaultRowHeight="15" x14ac:dyDescent="0.25"/>
  <cols>
    <col min="1" max="2" width="9" style="4"/>
    <col min="3" max="3" width="10.42578125" style="4" customWidth="1"/>
    <col min="4" max="4" width="11.140625" style="4" customWidth="1"/>
    <col min="5" max="5" width="17.42578125" style="4" bestFit="1" customWidth="1"/>
    <col min="6" max="6" width="6.28515625" style="4" customWidth="1"/>
    <col min="7" max="7" width="28.7109375" style="4" bestFit="1" customWidth="1"/>
    <col min="8" max="8" width="19.85546875" style="4" customWidth="1"/>
    <col min="9" max="9" width="7.140625" style="4" bestFit="1" customWidth="1"/>
    <col min="10" max="10" width="25.28515625" style="4" bestFit="1" customWidth="1"/>
    <col min="11" max="11" width="13.140625" style="4" bestFit="1" customWidth="1"/>
    <col min="12" max="12" width="9" style="4"/>
    <col min="13" max="13" width="11.85546875" style="4" bestFit="1" customWidth="1"/>
    <col min="14" max="14" width="15" style="4" bestFit="1" customWidth="1"/>
    <col min="15" max="16384" width="9" style="4"/>
  </cols>
  <sheetData>
    <row r="2" spans="1:15" x14ac:dyDescent="0.25">
      <c r="B2" s="50" t="s">
        <v>28</v>
      </c>
      <c r="C2" s="52"/>
      <c r="D2" s="52"/>
      <c r="E2" s="51"/>
      <c r="G2" s="50" t="s">
        <v>6</v>
      </c>
      <c r="H2" s="51"/>
      <c r="J2" s="48" t="s">
        <v>31</v>
      </c>
      <c r="K2" s="49"/>
    </row>
    <row r="3" spans="1:15" x14ac:dyDescent="0.25">
      <c r="B3" s="58" t="s">
        <v>3</v>
      </c>
      <c r="C3" s="59" t="s">
        <v>43</v>
      </c>
      <c r="D3" s="59" t="s">
        <v>0</v>
      </c>
      <c r="E3" s="60" t="s">
        <v>1</v>
      </c>
      <c r="G3" s="14" t="s">
        <v>6</v>
      </c>
      <c r="H3" s="65">
        <f ca="1">(E19+(E16*(1-E26)-E19*(1+E20)^(E21/365))/(1+$K$12)^(E21/365))/(1+E25)</f>
        <v>13227782.887796428</v>
      </c>
      <c r="J3" s="42" t="e" vm="1">
        <v>#VALUE!</v>
      </c>
      <c r="K3" s="38" cm="1">
        <f t="array" aca="1" ref="K3" ca="1">_FV(J3,"Price")</f>
        <v>4516.3999999999996</v>
      </c>
    </row>
    <row r="4" spans="1:15" x14ac:dyDescent="0.25">
      <c r="A4" s="3">
        <v>24</v>
      </c>
      <c r="B4" s="8">
        <v>1</v>
      </c>
      <c r="C4" s="4" t="s">
        <v>44</v>
      </c>
      <c r="D4" s="57">
        <v>30</v>
      </c>
      <c r="E4" s="35">
        <v>1</v>
      </c>
      <c r="G4" s="11" t="s">
        <v>7</v>
      </c>
      <c r="H4" s="66"/>
      <c r="J4" s="43" t="s">
        <v>24</v>
      </c>
      <c r="K4" s="40">
        <f ca="1">K3/'COP oro historial'!J2</f>
        <v>145.20563180255141</v>
      </c>
    </row>
    <row r="5" spans="1:15" x14ac:dyDescent="0.25">
      <c r="A5" s="3">
        <v>18</v>
      </c>
      <c r="B5" s="8">
        <f>IF(D5&lt;&gt;"",B4+1,"")</f>
        <v>2</v>
      </c>
      <c r="C5" s="4" t="s">
        <v>45</v>
      </c>
      <c r="D5" s="5">
        <v>5</v>
      </c>
      <c r="E5" s="35">
        <v>0.75</v>
      </c>
      <c r="J5" s="43" t="s">
        <v>25</v>
      </c>
      <c r="K5" s="39">
        <f ca="1">K4*K11</f>
        <v>457320.78119318158</v>
      </c>
      <c r="M5" s="4" t="s">
        <v>34</v>
      </c>
      <c r="N5" s="4" t="s">
        <v>35</v>
      </c>
      <c r="O5" s="4" t="s">
        <v>9</v>
      </c>
    </row>
    <row r="6" spans="1:15" x14ac:dyDescent="0.25">
      <c r="A6" s="3">
        <v>14</v>
      </c>
      <c r="B6" s="8">
        <f>IF(C6&lt;&gt;"",B5+1,"")</f>
        <v>3</v>
      </c>
      <c r="C6" s="4" t="s">
        <v>45</v>
      </c>
      <c r="D6" s="5"/>
      <c r="E6" s="35"/>
      <c r="G6" s="50" t="s">
        <v>33</v>
      </c>
      <c r="H6" s="51"/>
      <c r="J6" s="44" t="s">
        <v>30</v>
      </c>
      <c r="K6" s="41">
        <f>'COP oro historial'!J9</f>
        <v>0.18043179414016494</v>
      </c>
      <c r="M6" s="13">
        <v>0.6</v>
      </c>
      <c r="N6" s="17">
        <f ca="1">$H$3*M6</f>
        <v>7936669.7326778565</v>
      </c>
      <c r="O6" s="45">
        <f ca="1">($H$3/N6)-1</f>
        <v>0.66666666666666674</v>
      </c>
    </row>
    <row r="7" spans="1:15" x14ac:dyDescent="0.25">
      <c r="A7" s="3">
        <v>10</v>
      </c>
      <c r="B7" s="8" t="str">
        <f>IF(D7&lt;&gt;"",B6+1,"")</f>
        <v/>
      </c>
      <c r="D7" s="5"/>
      <c r="E7" s="35"/>
      <c r="G7" s="14" t="s">
        <v>35</v>
      </c>
      <c r="H7" s="47">
        <v>10000000</v>
      </c>
      <c r="J7" s="14" t="e" vm="2">
        <v>#VALUE!</v>
      </c>
      <c r="K7" s="61" cm="1">
        <f t="array" aca="1" ref="K7" ca="1">_FV(J7,"Price")</f>
        <v>1803.2</v>
      </c>
      <c r="M7" s="13">
        <f>M6+0.01</f>
        <v>0.61</v>
      </c>
      <c r="N7" s="17">
        <f t="shared" ref="N7:N43" ca="1" si="0">$H$3*M7</f>
        <v>8068947.5615558205</v>
      </c>
      <c r="O7" s="45">
        <f t="shared" ref="O7:O43" ca="1" si="1">($H$3/N7)-1</f>
        <v>0.63934426229508201</v>
      </c>
    </row>
    <row r="8" spans="1:15" x14ac:dyDescent="0.25">
      <c r="B8" s="8" t="str">
        <f>IF(D8&lt;&gt;"",B7+1,"")</f>
        <v/>
      </c>
      <c r="D8" s="5"/>
      <c r="E8" s="35"/>
      <c r="G8" s="11" t="s">
        <v>37</v>
      </c>
      <c r="H8" s="67">
        <f ca="1">(H3/H7)-1</f>
        <v>0.32277828877964287</v>
      </c>
      <c r="J8" s="10" t="s">
        <v>46</v>
      </c>
      <c r="K8" s="62">
        <f ca="1">K7/31.1035</f>
        <v>57.974182969762246</v>
      </c>
      <c r="M8" s="13">
        <f t="shared" ref="M8:M43" si="2">M7+0.01</f>
        <v>0.62</v>
      </c>
      <c r="N8" s="17">
        <f t="shared" ca="1" si="0"/>
        <v>8201225.3904337855</v>
      </c>
      <c r="O8" s="45">
        <f t="shared" ca="1" si="1"/>
        <v>0.61290322580645151</v>
      </c>
    </row>
    <row r="9" spans="1:15" x14ac:dyDescent="0.25">
      <c r="B9" s="8" t="str">
        <f>IF(D9&lt;&gt;"",B8+1,"")</f>
        <v/>
      </c>
      <c r="D9" s="5"/>
      <c r="E9" s="35"/>
      <c r="J9" s="10" t="s">
        <v>48</v>
      </c>
      <c r="K9" s="39">
        <f ca="1">K8*K11</f>
        <v>182587.9500377771</v>
      </c>
      <c r="M9" s="13">
        <f t="shared" si="2"/>
        <v>0.63</v>
      </c>
      <c r="N9" s="17">
        <f t="shared" ca="1" si="0"/>
        <v>8333503.2193117496</v>
      </c>
      <c r="O9" s="45">
        <f t="shared" ca="1" si="1"/>
        <v>0.58730158730158721</v>
      </c>
    </row>
    <row r="10" spans="1:15" x14ac:dyDescent="0.25">
      <c r="B10" s="8"/>
      <c r="D10" s="5"/>
      <c r="E10" s="35"/>
      <c r="J10" s="11" t="s">
        <v>47</v>
      </c>
      <c r="K10" s="63"/>
      <c r="M10" s="13">
        <f t="shared" si="2"/>
        <v>0.64</v>
      </c>
      <c r="N10" s="17">
        <f t="shared" ca="1" si="0"/>
        <v>8465781.0481897146</v>
      </c>
      <c r="O10" s="45">
        <f t="shared" ca="1" si="1"/>
        <v>0.5625</v>
      </c>
    </row>
    <row r="11" spans="1:15" x14ac:dyDescent="0.25">
      <c r="B11" s="8"/>
      <c r="D11" s="5"/>
      <c r="E11" s="35"/>
      <c r="J11" s="43" t="e" vm="3">
        <v>#VALUE!</v>
      </c>
      <c r="K11" s="39" cm="1">
        <f t="array" aca="1" ref="K11" ca="1">_FV(J11,"Price")</f>
        <v>3149.47</v>
      </c>
      <c r="M11" s="13">
        <f t="shared" si="2"/>
        <v>0.65</v>
      </c>
      <c r="N11" s="17">
        <f t="shared" ca="1" si="0"/>
        <v>8598058.8770676777</v>
      </c>
      <c r="O11" s="45">
        <f t="shared" ca="1" si="1"/>
        <v>0.53846153846153855</v>
      </c>
    </row>
    <row r="12" spans="1:15" x14ac:dyDescent="0.25">
      <c r="A12" s="3" t="s">
        <v>8</v>
      </c>
      <c r="B12" s="8"/>
      <c r="D12" s="5"/>
      <c r="E12" s="35"/>
      <c r="J12" s="44" t="e" vm="4">
        <v>#VALUE!</v>
      </c>
      <c r="K12" s="41" cm="1">
        <f t="array" aca="1" ref="K12" ca="1">_FV(J12,"Price")/100</f>
        <v>0.13119999999999998</v>
      </c>
      <c r="M12" s="13">
        <f t="shared" si="2"/>
        <v>0.66</v>
      </c>
      <c r="N12" s="17">
        <f t="shared" ca="1" si="0"/>
        <v>8730336.7059456427</v>
      </c>
      <c r="O12" s="45">
        <f t="shared" ca="1" si="1"/>
        <v>0.51515151515151514</v>
      </c>
    </row>
    <row r="13" spans="1:15" x14ac:dyDescent="0.25">
      <c r="A13" s="3" t="s">
        <v>10</v>
      </c>
      <c r="B13" s="8"/>
      <c r="D13" s="5"/>
      <c r="E13" s="35"/>
      <c r="I13" s="13"/>
      <c r="J13" s="13"/>
      <c r="K13" s="13"/>
      <c r="L13" s="13"/>
      <c r="M13" s="13">
        <f t="shared" si="2"/>
        <v>0.67</v>
      </c>
      <c r="N13" s="17">
        <f t="shared" ca="1" si="0"/>
        <v>8862614.5348236077</v>
      </c>
      <c r="O13" s="45">
        <f t="shared" ca="1" si="1"/>
        <v>0.49253731343283569</v>
      </c>
    </row>
    <row r="14" spans="1:15" x14ac:dyDescent="0.25">
      <c r="B14" s="8"/>
      <c r="D14" s="57"/>
      <c r="E14" s="35"/>
      <c r="H14" s="17"/>
      <c r="M14" s="13">
        <f t="shared" si="2"/>
        <v>0.68</v>
      </c>
      <c r="N14" s="17">
        <f t="shared" ca="1" si="0"/>
        <v>8994892.3637015726</v>
      </c>
      <c r="O14" s="45">
        <f t="shared" ca="1" si="1"/>
        <v>0.47058823529411731</v>
      </c>
    </row>
    <row r="15" spans="1:15" x14ac:dyDescent="0.25">
      <c r="B15" s="14" t="s">
        <v>2</v>
      </c>
      <c r="C15" s="6"/>
      <c r="D15" s="6"/>
      <c r="E15" s="7">
        <v>120</v>
      </c>
      <c r="M15" s="13">
        <f t="shared" si="2"/>
        <v>0.69000000000000006</v>
      </c>
      <c r="N15" s="17">
        <f t="shared" ca="1" si="0"/>
        <v>9127170.1925795358</v>
      </c>
      <c r="O15" s="45">
        <f t="shared" ca="1" si="1"/>
        <v>0.44927536231884058</v>
      </c>
    </row>
    <row r="16" spans="1:15" x14ac:dyDescent="0.25">
      <c r="B16" s="11" t="s">
        <v>22</v>
      </c>
      <c r="C16" s="12"/>
      <c r="D16" s="12"/>
      <c r="E16" s="36">
        <f ca="1">SUMPRODUCT(D4:D14,E4:E14)*K4*K11</f>
        <v>15434576.365269877</v>
      </c>
      <c r="M16" s="13">
        <f t="shared" si="2"/>
        <v>0.70000000000000007</v>
      </c>
      <c r="N16" s="17">
        <f t="shared" ca="1" si="0"/>
        <v>9259448.0214575008</v>
      </c>
      <c r="O16" s="45">
        <f t="shared" ca="1" si="1"/>
        <v>0.42857142857142838</v>
      </c>
    </row>
    <row r="17" spans="2:15" x14ac:dyDescent="0.25">
      <c r="M17" s="13">
        <f t="shared" si="2"/>
        <v>0.71000000000000008</v>
      </c>
      <c r="N17" s="17">
        <f t="shared" ca="1" si="0"/>
        <v>9391725.8503354657</v>
      </c>
      <c r="O17" s="45">
        <f t="shared" ca="1" si="1"/>
        <v>0.40845070422535179</v>
      </c>
    </row>
    <row r="18" spans="2:15" x14ac:dyDescent="0.25">
      <c r="B18" s="50" t="s">
        <v>29</v>
      </c>
      <c r="C18" s="52"/>
      <c r="D18" s="52"/>
      <c r="E18" s="51"/>
      <c r="M18" s="13">
        <f t="shared" si="2"/>
        <v>0.72000000000000008</v>
      </c>
      <c r="N18" s="17">
        <f t="shared" ca="1" si="0"/>
        <v>9524003.6792134289</v>
      </c>
      <c r="O18" s="45">
        <f t="shared" ca="1" si="1"/>
        <v>0.38888888888888884</v>
      </c>
    </row>
    <row r="19" spans="2:15" x14ac:dyDescent="0.25">
      <c r="B19" s="14" t="s">
        <v>27</v>
      </c>
      <c r="C19" s="6"/>
      <c r="D19" s="6"/>
      <c r="E19" s="47">
        <f ca="1">E16</f>
        <v>15434576.365269877</v>
      </c>
      <c r="M19" s="13">
        <f t="shared" si="2"/>
        <v>0.73000000000000009</v>
      </c>
      <c r="N19" s="17">
        <f t="shared" ca="1" si="0"/>
        <v>9656281.5080913939</v>
      </c>
      <c r="O19" s="45">
        <f t="shared" ca="1" si="1"/>
        <v>0.36986301369862984</v>
      </c>
    </row>
    <row r="20" spans="2:15" x14ac:dyDescent="0.25">
      <c r="B20" s="10" t="s">
        <v>21</v>
      </c>
      <c r="C20" s="64"/>
      <c r="D20" s="64"/>
      <c r="E20" s="34">
        <v>0.25</v>
      </c>
      <c r="M20" s="13">
        <f t="shared" si="2"/>
        <v>0.7400000000000001</v>
      </c>
      <c r="N20" s="17">
        <f t="shared" ca="1" si="0"/>
        <v>9788559.3369693588</v>
      </c>
      <c r="O20" s="45">
        <f t="shared" ca="1" si="1"/>
        <v>0.35135135135135109</v>
      </c>
    </row>
    <row r="21" spans="2:15" x14ac:dyDescent="0.25">
      <c r="B21" s="10" t="s">
        <v>32</v>
      </c>
      <c r="C21" s="64"/>
      <c r="D21" s="64"/>
      <c r="E21" s="9">
        <v>128</v>
      </c>
      <c r="M21" s="13">
        <f t="shared" si="2"/>
        <v>0.75000000000000011</v>
      </c>
      <c r="N21" s="17">
        <f t="shared" ca="1" si="0"/>
        <v>9920837.165847322</v>
      </c>
      <c r="O21" s="45">
        <f t="shared" ca="1" si="1"/>
        <v>0.33333333333333326</v>
      </c>
    </row>
    <row r="22" spans="2:15" x14ac:dyDescent="0.25">
      <c r="B22" s="11" t="s">
        <v>26</v>
      </c>
      <c r="C22" s="12"/>
      <c r="D22" s="12"/>
      <c r="E22" s="37">
        <f ca="1">-((1+E20)^((E21)/365)-1)*E19</f>
        <v>-1256317.483969812</v>
      </c>
      <c r="M22" s="13">
        <f t="shared" si="2"/>
        <v>0.76000000000000012</v>
      </c>
      <c r="N22" s="17">
        <f t="shared" ca="1" si="0"/>
        <v>10053114.994725287</v>
      </c>
      <c r="O22" s="45">
        <f t="shared" ca="1" si="1"/>
        <v>0.3157894736842104</v>
      </c>
    </row>
    <row r="23" spans="2:15" x14ac:dyDescent="0.25">
      <c r="M23" s="13">
        <f t="shared" si="2"/>
        <v>0.77000000000000013</v>
      </c>
      <c r="N23" s="17">
        <f t="shared" ca="1" si="0"/>
        <v>10185392.823603252</v>
      </c>
      <c r="O23" s="45">
        <f t="shared" ca="1" si="1"/>
        <v>0.29870129870129847</v>
      </c>
    </row>
    <row r="24" spans="2:15" x14ac:dyDescent="0.25">
      <c r="B24" s="50" t="s">
        <v>36</v>
      </c>
      <c r="C24" s="52"/>
      <c r="D24" s="52"/>
      <c r="E24" s="51"/>
      <c r="M24" s="13">
        <f t="shared" si="2"/>
        <v>0.78000000000000014</v>
      </c>
      <c r="N24" s="17">
        <f t="shared" ca="1" si="0"/>
        <v>10317670.652481215</v>
      </c>
      <c r="O24" s="45">
        <f t="shared" ca="1" si="1"/>
        <v>0.28205128205128194</v>
      </c>
    </row>
    <row r="25" spans="2:15" x14ac:dyDescent="0.25">
      <c r="B25" s="14" t="s">
        <v>4</v>
      </c>
      <c r="C25" s="6"/>
      <c r="D25" s="6"/>
      <c r="E25" s="15">
        <v>0.02</v>
      </c>
      <c r="M25" s="13">
        <f t="shared" si="2"/>
        <v>0.79000000000000015</v>
      </c>
      <c r="N25" s="17">
        <f t="shared" ca="1" si="0"/>
        <v>10449948.48135918</v>
      </c>
      <c r="O25" s="45">
        <f t="shared" ca="1" si="1"/>
        <v>0.26582278481012644</v>
      </c>
    </row>
    <row r="26" spans="2:15" x14ac:dyDescent="0.25">
      <c r="B26" s="11" t="s">
        <v>5</v>
      </c>
      <c r="C26" s="12"/>
      <c r="D26" s="12"/>
      <c r="E26" s="16">
        <v>0.05</v>
      </c>
      <c r="M26" s="13">
        <f t="shared" si="2"/>
        <v>0.80000000000000016</v>
      </c>
      <c r="N26" s="17">
        <f t="shared" ca="1" si="0"/>
        <v>10582226.310237145</v>
      </c>
      <c r="O26" s="45">
        <f t="shared" ca="1" si="1"/>
        <v>0.24999999999999978</v>
      </c>
    </row>
    <row r="27" spans="2:15" x14ac:dyDescent="0.25">
      <c r="M27" s="13">
        <f t="shared" si="2"/>
        <v>0.81000000000000016</v>
      </c>
      <c r="N27" s="17">
        <f t="shared" ca="1" si="0"/>
        <v>10714504.139115108</v>
      </c>
      <c r="O27" s="45">
        <f t="shared" ca="1" si="1"/>
        <v>0.23456790123456783</v>
      </c>
    </row>
    <row r="28" spans="2:15" x14ac:dyDescent="0.25">
      <c r="M28" s="13">
        <f t="shared" si="2"/>
        <v>0.82000000000000017</v>
      </c>
      <c r="N28" s="17">
        <f t="shared" ca="1" si="0"/>
        <v>10846781.967993073</v>
      </c>
      <c r="O28" s="45">
        <f t="shared" ca="1" si="1"/>
        <v>0.21951219512195097</v>
      </c>
    </row>
    <row r="29" spans="2:15" x14ac:dyDescent="0.25">
      <c r="M29" s="13">
        <f t="shared" si="2"/>
        <v>0.83000000000000018</v>
      </c>
      <c r="N29" s="17">
        <f t="shared" ca="1" si="0"/>
        <v>10979059.796871038</v>
      </c>
      <c r="O29" s="45">
        <f t="shared" ca="1" si="1"/>
        <v>0.2048192771084334</v>
      </c>
    </row>
    <row r="30" spans="2:15" x14ac:dyDescent="0.25">
      <c r="E30" s="46"/>
      <c r="M30" s="13">
        <f t="shared" si="2"/>
        <v>0.84000000000000019</v>
      </c>
      <c r="N30" s="17">
        <f t="shared" ca="1" si="0"/>
        <v>11111337.625749001</v>
      </c>
      <c r="O30" s="45">
        <f t="shared" ca="1" si="1"/>
        <v>0.19047619047619024</v>
      </c>
    </row>
    <row r="31" spans="2:15" x14ac:dyDescent="0.25">
      <c r="M31" s="13">
        <f t="shared" si="2"/>
        <v>0.8500000000000002</v>
      </c>
      <c r="N31" s="17">
        <f t="shared" ca="1" si="0"/>
        <v>11243615.454626966</v>
      </c>
      <c r="O31" s="45">
        <f t="shared" ca="1" si="1"/>
        <v>0.17647058823529393</v>
      </c>
    </row>
    <row r="32" spans="2:15" x14ac:dyDescent="0.25">
      <c r="M32" s="13">
        <f t="shared" si="2"/>
        <v>0.86000000000000021</v>
      </c>
      <c r="N32" s="17">
        <f t="shared" ca="1" si="0"/>
        <v>11375893.283504931</v>
      </c>
      <c r="O32" s="45">
        <f t="shared" ca="1" si="1"/>
        <v>0.16279069767441823</v>
      </c>
    </row>
    <row r="33" spans="13:15" x14ac:dyDescent="0.25">
      <c r="M33" s="13">
        <f t="shared" si="2"/>
        <v>0.87000000000000022</v>
      </c>
      <c r="N33" s="17">
        <f t="shared" ca="1" si="0"/>
        <v>11508171.112382894</v>
      </c>
      <c r="O33" s="45">
        <f t="shared" ca="1" si="1"/>
        <v>0.14942528735632155</v>
      </c>
    </row>
    <row r="34" spans="13:15" x14ac:dyDescent="0.25">
      <c r="M34" s="13">
        <f t="shared" si="2"/>
        <v>0.88000000000000023</v>
      </c>
      <c r="N34" s="17">
        <f t="shared" ca="1" si="0"/>
        <v>11640448.941260859</v>
      </c>
      <c r="O34" s="45">
        <f t="shared" ca="1" si="1"/>
        <v>0.13636363636363602</v>
      </c>
    </row>
    <row r="35" spans="13:15" x14ac:dyDescent="0.25">
      <c r="M35" s="13">
        <f t="shared" si="2"/>
        <v>0.89000000000000024</v>
      </c>
      <c r="N35" s="17">
        <f t="shared" ca="1" si="0"/>
        <v>11772726.770138824</v>
      </c>
      <c r="O35" s="45">
        <f t="shared" ca="1" si="1"/>
        <v>0.12359550561797716</v>
      </c>
    </row>
    <row r="36" spans="13:15" x14ac:dyDescent="0.25">
      <c r="M36" s="13">
        <f t="shared" si="2"/>
        <v>0.90000000000000024</v>
      </c>
      <c r="N36" s="17">
        <f t="shared" ca="1" si="0"/>
        <v>11905004.599016789</v>
      </c>
      <c r="O36" s="45">
        <f t="shared" ca="1" si="1"/>
        <v>0.11111111111111072</v>
      </c>
    </row>
    <row r="37" spans="13:15" x14ac:dyDescent="0.25">
      <c r="M37" s="13">
        <f t="shared" si="2"/>
        <v>0.91000000000000025</v>
      </c>
      <c r="N37" s="17">
        <f t="shared" ca="1" si="0"/>
        <v>12037282.427894752</v>
      </c>
      <c r="O37" s="45">
        <f t="shared" ca="1" si="1"/>
        <v>9.890109890109855E-2</v>
      </c>
    </row>
    <row r="38" spans="13:15" x14ac:dyDescent="0.25">
      <c r="M38" s="13">
        <f t="shared" si="2"/>
        <v>0.92000000000000026</v>
      </c>
      <c r="N38" s="17">
        <f t="shared" ca="1" si="0"/>
        <v>12169560.256772717</v>
      </c>
      <c r="O38" s="45">
        <f t="shared" ca="1" si="1"/>
        <v>8.6956521739130155E-2</v>
      </c>
    </row>
    <row r="39" spans="13:15" x14ac:dyDescent="0.25">
      <c r="M39" s="13">
        <f t="shared" si="2"/>
        <v>0.93000000000000027</v>
      </c>
      <c r="N39" s="17">
        <f t="shared" ca="1" si="0"/>
        <v>12301838.085650682</v>
      </c>
      <c r="O39" s="45">
        <f t="shared" ca="1" si="1"/>
        <v>7.5268817204300786E-2</v>
      </c>
    </row>
    <row r="40" spans="13:15" x14ac:dyDescent="0.25">
      <c r="M40" s="13">
        <f t="shared" si="2"/>
        <v>0.94000000000000028</v>
      </c>
      <c r="N40" s="17">
        <f t="shared" ca="1" si="0"/>
        <v>12434115.914528646</v>
      </c>
      <c r="O40" s="45">
        <f t="shared" ca="1" si="1"/>
        <v>6.3829787234042312E-2</v>
      </c>
    </row>
    <row r="41" spans="13:15" x14ac:dyDescent="0.25">
      <c r="M41" s="13">
        <f t="shared" si="2"/>
        <v>0.95000000000000029</v>
      </c>
      <c r="N41" s="17">
        <f t="shared" ca="1" si="0"/>
        <v>12566393.743406611</v>
      </c>
      <c r="O41" s="45">
        <f t="shared" ca="1" si="1"/>
        <v>5.2631578947368141E-2</v>
      </c>
    </row>
    <row r="42" spans="13:15" x14ac:dyDescent="0.25">
      <c r="M42" s="13">
        <f t="shared" si="2"/>
        <v>0.9600000000000003</v>
      </c>
      <c r="N42" s="17">
        <f t="shared" ca="1" si="0"/>
        <v>12698671.572284576</v>
      </c>
      <c r="O42" s="45">
        <f t="shared" ca="1" si="1"/>
        <v>4.1666666666666297E-2</v>
      </c>
    </row>
    <row r="43" spans="13:15" x14ac:dyDescent="0.25">
      <c r="M43" s="13">
        <f t="shared" si="2"/>
        <v>0.97000000000000031</v>
      </c>
      <c r="N43" s="17">
        <f t="shared" ca="1" si="0"/>
        <v>12830949.401162539</v>
      </c>
      <c r="O43" s="45">
        <f t="shared" ca="1" si="1"/>
        <v>3.092783505154606E-2</v>
      </c>
    </row>
  </sheetData>
  <mergeCells count="6">
    <mergeCell ref="B24:E24"/>
    <mergeCell ref="J2:K2"/>
    <mergeCell ref="G6:H6"/>
    <mergeCell ref="G2:H2"/>
    <mergeCell ref="B2:E2"/>
    <mergeCell ref="B18:E18"/>
  </mergeCells>
  <conditionalFormatting sqref="H8">
    <cfRule type="expression" dxfId="3" priority="5">
      <formula>$H$8&gt;0</formula>
    </cfRule>
    <cfRule type="expression" dxfId="2" priority="6">
      <formula>$H$8&lt;0</formula>
    </cfRule>
  </conditionalFormatting>
  <conditionalFormatting sqref="O6:O43">
    <cfRule type="expression" dxfId="1" priority="1">
      <formula>$H$8&gt;0</formula>
    </cfRule>
    <cfRule type="expression" dxfId="0" priority="2">
      <formula>$H$8&lt;0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A68B-D87C-4AA0-9A84-9E8864554AAA}">
  <dimension ref="A1:N504"/>
  <sheetViews>
    <sheetView workbookViewId="0">
      <selection activeCell="G2" sqref="G2"/>
    </sheetView>
  </sheetViews>
  <sheetFormatPr defaultRowHeight="15" x14ac:dyDescent="0.25"/>
  <cols>
    <col min="1" max="1" width="10.42578125" style="2" bestFit="1" customWidth="1"/>
    <col min="2" max="2" width="14.28515625" style="2" bestFit="1" customWidth="1"/>
    <col min="3" max="3" width="4.7109375" style="2" customWidth="1"/>
    <col min="4" max="4" width="10.42578125" style="2" bestFit="1" customWidth="1"/>
    <col min="5" max="5" width="10.5703125" style="2" bestFit="1" customWidth="1"/>
    <col min="6" max="6" width="18.28515625" style="2" bestFit="1" customWidth="1"/>
    <col min="7" max="7" width="9.85546875" style="2" customWidth="1"/>
    <col min="8" max="9" width="9.140625" style="2"/>
    <col min="10" max="10" width="11" style="2" bestFit="1" customWidth="1"/>
    <col min="11" max="16384" width="9.140625" style="2"/>
  </cols>
  <sheetData>
    <row r="1" spans="1:14" x14ac:dyDescent="0.25">
      <c r="A1" s="26" t="s">
        <v>11</v>
      </c>
      <c r="B1" s="27" t="s">
        <v>12</v>
      </c>
      <c r="D1" s="26" t="s">
        <v>14</v>
      </c>
      <c r="E1" s="27" t="s">
        <v>13</v>
      </c>
      <c r="F1" s="19" t="s">
        <v>17</v>
      </c>
      <c r="G1" s="1" t="s">
        <v>18</v>
      </c>
      <c r="J1" s="2" t="s">
        <v>15</v>
      </c>
      <c r="L1" s="2" t="s">
        <v>16</v>
      </c>
    </row>
    <row r="2" spans="1:14" x14ac:dyDescent="0.25">
      <c r="A2" s="28">
        <v>45539</v>
      </c>
      <c r="B2" s="29">
        <v>2493.39990234375</v>
      </c>
      <c r="C2" s="21"/>
      <c r="D2" s="28">
        <v>45539</v>
      </c>
      <c r="E2" s="29">
        <v>4185.8</v>
      </c>
      <c r="F2" s="18">
        <f>(B2*E2)/$J$2</f>
        <v>335553.26879824797</v>
      </c>
      <c r="J2" s="2">
        <v>31.103476799999999</v>
      </c>
    </row>
    <row r="3" spans="1:14" x14ac:dyDescent="0.25">
      <c r="A3" s="28">
        <v>45540</v>
      </c>
      <c r="B3" s="29">
        <v>2511.39990234375</v>
      </c>
      <c r="C3" s="21"/>
      <c r="D3" s="28">
        <v>45540</v>
      </c>
      <c r="E3" s="29">
        <v>4185.82</v>
      </c>
      <c r="F3" s="18">
        <f t="shared" ref="F3:F66" si="0">(B3*E3)/$J$2</f>
        <v>337977.26237564906</v>
      </c>
      <c r="G3" s="2">
        <f t="shared" ref="G3:G66" si="1">LN(F3/F2)</f>
        <v>7.1979039724404626E-3</v>
      </c>
      <c r="J3" s="2" t="e" vm="1">
        <v>#VALUE!</v>
      </c>
      <c r="K3" s="2" t="s">
        <v>23</v>
      </c>
    </row>
    <row r="4" spans="1:14" x14ac:dyDescent="0.25">
      <c r="A4" s="28">
        <v>45541</v>
      </c>
      <c r="B4" s="29">
        <v>2493.5</v>
      </c>
      <c r="C4" s="21"/>
      <c r="D4" s="28">
        <v>45541</v>
      </c>
      <c r="E4" s="29">
        <v>4172.5</v>
      </c>
      <c r="F4" s="18">
        <f t="shared" si="0"/>
        <v>334500.50670862623</v>
      </c>
      <c r="G4" s="2">
        <f t="shared" si="1"/>
        <v>-1.0340227751126439E-2</v>
      </c>
      <c r="J4" s="22" cm="1">
        <f t="array" aca="1" ref="J4" ca="1">_FV(J3,"Price")</f>
        <v>4516.3999999999996</v>
      </c>
    </row>
    <row r="5" spans="1:14" x14ac:dyDescent="0.25">
      <c r="A5" s="28">
        <v>45544</v>
      </c>
      <c r="B5" s="29">
        <v>2501.800048828125</v>
      </c>
      <c r="C5" s="21"/>
      <c r="D5" s="28">
        <v>45542</v>
      </c>
      <c r="E5" s="29">
        <v>4149.79</v>
      </c>
      <c r="F5" s="18">
        <f t="shared" si="0"/>
        <v>333787.27694604435</v>
      </c>
      <c r="G5" s="2">
        <f t="shared" si="1"/>
        <v>-2.1344996895686515E-3</v>
      </c>
    </row>
    <row r="6" spans="1:14" x14ac:dyDescent="0.25">
      <c r="A6" s="28">
        <v>45545</v>
      </c>
      <c r="B6" s="29">
        <v>2512.300048828125</v>
      </c>
      <c r="C6" s="21"/>
      <c r="D6" s="28">
        <v>45545</v>
      </c>
      <c r="E6" s="29">
        <v>4220.68</v>
      </c>
      <c r="F6" s="18">
        <f t="shared" si="0"/>
        <v>340914.12475430692</v>
      </c>
      <c r="G6" s="2">
        <f t="shared" si="1"/>
        <v>2.112671730147548E-2</v>
      </c>
      <c r="J6" s="2" t="s">
        <v>19</v>
      </c>
      <c r="M6" s="2">
        <f>COUNT(G3:G473)</f>
        <v>471</v>
      </c>
      <c r="N6" s="2" t="s">
        <v>20</v>
      </c>
    </row>
    <row r="7" spans="1:14" x14ac:dyDescent="0.25">
      <c r="A7" s="28">
        <v>45546</v>
      </c>
      <c r="B7" s="29">
        <v>2512.10009765625</v>
      </c>
      <c r="C7" s="21"/>
      <c r="D7" s="28">
        <v>45546</v>
      </c>
      <c r="E7" s="29">
        <v>4285.6099999999997</v>
      </c>
      <c r="F7" s="18">
        <f t="shared" si="0"/>
        <v>346131.12124868954</v>
      </c>
      <c r="G7" s="2">
        <f t="shared" si="1"/>
        <v>1.5187054412791411E-2</v>
      </c>
      <c r="J7" s="23">
        <f>_xlfn.STDEV.S(G220:G473)*SQRT(252)</f>
        <v>0.31467980820289354</v>
      </c>
    </row>
    <row r="8" spans="1:14" x14ac:dyDescent="0.25">
      <c r="A8" s="28">
        <v>45547</v>
      </c>
      <c r="B8" s="29">
        <v>2551.199951171875</v>
      </c>
      <c r="C8" s="21"/>
      <c r="D8" s="28">
        <v>45547</v>
      </c>
      <c r="E8" s="29">
        <v>4278.28</v>
      </c>
      <c r="F8" s="18">
        <f t="shared" si="0"/>
        <v>350917.28803448781</v>
      </c>
      <c r="G8" s="2">
        <f t="shared" si="1"/>
        <v>1.3732882655617621E-2</v>
      </c>
    </row>
    <row r="9" spans="1:14" x14ac:dyDescent="0.25">
      <c r="A9" s="28">
        <v>45548</v>
      </c>
      <c r="B9" s="29">
        <v>2581.300048828125</v>
      </c>
      <c r="C9" s="21"/>
      <c r="D9" s="28">
        <v>45548</v>
      </c>
      <c r="E9" s="29">
        <v>4236.63</v>
      </c>
      <c r="F9" s="18">
        <f t="shared" si="0"/>
        <v>351600.98969600402</v>
      </c>
      <c r="G9" s="2">
        <f t="shared" si="1"/>
        <v>1.9464315706650829E-3</v>
      </c>
      <c r="J9" s="23">
        <f>J7*SQRT(120/365)</f>
        <v>0.18043179414016494</v>
      </c>
    </row>
    <row r="10" spans="1:14" x14ac:dyDescent="0.25">
      <c r="A10" s="28">
        <v>45551</v>
      </c>
      <c r="B10" s="29">
        <v>2580.39990234375</v>
      </c>
      <c r="C10" s="21"/>
      <c r="D10" s="28">
        <v>45549</v>
      </c>
      <c r="E10" s="29">
        <v>4172.13</v>
      </c>
      <c r="F10" s="18">
        <f t="shared" si="0"/>
        <v>346127.34498432121</v>
      </c>
      <c r="G10" s="2">
        <f t="shared" si="1"/>
        <v>-1.5690224210205043E-2</v>
      </c>
    </row>
    <row r="11" spans="1:14" x14ac:dyDescent="0.25">
      <c r="A11" s="28">
        <v>45552</v>
      </c>
      <c r="B11" s="29">
        <v>2564.300048828125</v>
      </c>
      <c r="C11" s="21"/>
      <c r="D11" s="28">
        <v>45552</v>
      </c>
      <c r="E11" s="29">
        <v>4220.58</v>
      </c>
      <c r="F11" s="18">
        <f t="shared" si="0"/>
        <v>347962.1770156257</v>
      </c>
      <c r="G11" s="2">
        <f t="shared" si="1"/>
        <v>5.2870306990288173E-3</v>
      </c>
    </row>
    <row r="12" spans="1:14" x14ac:dyDescent="0.25">
      <c r="A12" s="28">
        <v>45553</v>
      </c>
      <c r="B12" s="29">
        <v>2570.699951171875</v>
      </c>
      <c r="C12" s="21"/>
      <c r="D12" s="28">
        <v>45553</v>
      </c>
      <c r="E12" s="29">
        <v>4239.33</v>
      </c>
      <c r="F12" s="18">
        <f t="shared" si="0"/>
        <v>350380.29652046697</v>
      </c>
      <c r="G12" s="2">
        <f t="shared" si="1"/>
        <v>6.9253389588957957E-3</v>
      </c>
    </row>
    <row r="13" spans="1:14" x14ac:dyDescent="0.25">
      <c r="A13" s="28">
        <v>45554</v>
      </c>
      <c r="B13" s="29">
        <v>2588</v>
      </c>
      <c r="C13" s="21"/>
      <c r="D13" s="28">
        <v>45554</v>
      </c>
      <c r="E13" s="29">
        <v>4189.46</v>
      </c>
      <c r="F13" s="18">
        <f t="shared" si="0"/>
        <v>348588.76226981805</v>
      </c>
      <c r="G13" s="2">
        <f t="shared" si="1"/>
        <v>-5.1262302710355029E-3</v>
      </c>
    </row>
    <row r="14" spans="1:14" x14ac:dyDescent="0.25">
      <c r="A14" s="28">
        <v>45555</v>
      </c>
      <c r="B14" s="29">
        <v>2619.89990234375</v>
      </c>
      <c r="C14" s="21"/>
      <c r="D14" s="28">
        <v>45555</v>
      </c>
      <c r="E14" s="29">
        <v>4175.1000000000004</v>
      </c>
      <c r="F14" s="18">
        <f t="shared" si="0"/>
        <v>351675.92846968776</v>
      </c>
      <c r="G14" s="2">
        <f t="shared" si="1"/>
        <v>8.817197957080811E-3</v>
      </c>
    </row>
    <row r="15" spans="1:14" x14ac:dyDescent="0.25">
      <c r="A15" s="28">
        <v>45558</v>
      </c>
      <c r="B15" s="29">
        <v>2626.5</v>
      </c>
      <c r="C15" s="21"/>
      <c r="D15" s="28">
        <v>45556</v>
      </c>
      <c r="E15" s="29">
        <v>4156.8900000000003</v>
      </c>
      <c r="F15" s="18">
        <f t="shared" si="0"/>
        <v>351024.15254747344</v>
      </c>
      <c r="G15" s="2">
        <f t="shared" si="1"/>
        <v>-1.85506200079402E-3</v>
      </c>
    </row>
    <row r="16" spans="1:14" x14ac:dyDescent="0.25">
      <c r="A16" s="28">
        <v>45559</v>
      </c>
      <c r="B16" s="29">
        <v>2651.199951171875</v>
      </c>
      <c r="C16" s="21"/>
      <c r="D16" s="28">
        <v>45559</v>
      </c>
      <c r="E16" s="29">
        <v>4155.3100000000004</v>
      </c>
      <c r="F16" s="18">
        <f t="shared" si="0"/>
        <v>354190.55367803783</v>
      </c>
      <c r="G16" s="2">
        <f t="shared" si="1"/>
        <v>8.9800237601880065E-3</v>
      </c>
    </row>
    <row r="17" spans="1:7" x14ac:dyDescent="0.25">
      <c r="A17" s="28">
        <v>45560</v>
      </c>
      <c r="B17" s="29">
        <v>2659.199951171875</v>
      </c>
      <c r="C17" s="21"/>
      <c r="D17" s="28">
        <v>45560</v>
      </c>
      <c r="E17" s="29">
        <v>4139.43</v>
      </c>
      <c r="F17" s="18">
        <f t="shared" si="0"/>
        <v>353901.6594401882</v>
      </c>
      <c r="G17" s="2">
        <f t="shared" si="1"/>
        <v>-8.1597918611976466E-4</v>
      </c>
    </row>
    <row r="18" spans="1:7" x14ac:dyDescent="0.25">
      <c r="A18" s="28">
        <v>45561</v>
      </c>
      <c r="B18" s="29">
        <v>2669.89990234375</v>
      </c>
      <c r="C18" s="21"/>
      <c r="D18" s="28">
        <v>45561</v>
      </c>
      <c r="E18" s="29">
        <v>4192.74</v>
      </c>
      <c r="F18" s="18">
        <f t="shared" si="0"/>
        <v>359901.76238280645</v>
      </c>
      <c r="G18" s="2">
        <f t="shared" si="1"/>
        <v>1.6812035591881724E-2</v>
      </c>
    </row>
    <row r="19" spans="1:7" x14ac:dyDescent="0.25">
      <c r="A19" s="28">
        <v>45562</v>
      </c>
      <c r="B19" s="29">
        <v>2644.300048828125</v>
      </c>
      <c r="C19" s="21"/>
      <c r="D19" s="28">
        <v>45562</v>
      </c>
      <c r="E19" s="29">
        <v>4188.1099999999997</v>
      </c>
      <c r="F19" s="18">
        <f t="shared" si="0"/>
        <v>356057.28416501521</v>
      </c>
      <c r="G19" s="2">
        <f t="shared" si="1"/>
        <v>-1.0739483457834416E-2</v>
      </c>
    </row>
    <row r="20" spans="1:7" x14ac:dyDescent="0.25">
      <c r="A20" s="28">
        <v>45565</v>
      </c>
      <c r="B20" s="29">
        <v>2636.10009765625</v>
      </c>
      <c r="C20" s="21"/>
      <c r="D20" s="28">
        <v>45563</v>
      </c>
      <c r="E20" s="29">
        <v>4164.21</v>
      </c>
      <c r="F20" s="18">
        <f t="shared" si="0"/>
        <v>352927.56685198401</v>
      </c>
      <c r="G20" s="2">
        <f t="shared" si="1"/>
        <v>-8.8287856587455672E-3</v>
      </c>
    </row>
    <row r="21" spans="1:7" x14ac:dyDescent="0.25">
      <c r="A21" s="28">
        <v>45566</v>
      </c>
      <c r="B21" s="29">
        <v>2667.300048828125</v>
      </c>
      <c r="C21" s="21"/>
      <c r="D21" s="28">
        <v>45566</v>
      </c>
      <c r="E21" s="29">
        <v>4178.3</v>
      </c>
      <c r="F21" s="18">
        <f t="shared" si="0"/>
        <v>358312.99072065653</v>
      </c>
      <c r="G21" s="2">
        <f t="shared" si="1"/>
        <v>1.514403737583039E-2</v>
      </c>
    </row>
    <row r="22" spans="1:7" x14ac:dyDescent="0.25">
      <c r="A22" s="28">
        <v>45567</v>
      </c>
      <c r="B22" s="29">
        <v>2647.10009765625</v>
      </c>
      <c r="C22" s="21"/>
      <c r="D22" s="28">
        <v>45567</v>
      </c>
      <c r="E22" s="29">
        <v>4224.21</v>
      </c>
      <c r="F22" s="18">
        <f t="shared" si="0"/>
        <v>359506.64857893024</v>
      </c>
      <c r="G22" s="2">
        <f t="shared" si="1"/>
        <v>3.325790750670438E-3</v>
      </c>
    </row>
    <row r="23" spans="1:7" x14ac:dyDescent="0.25">
      <c r="A23" s="28">
        <v>45568</v>
      </c>
      <c r="B23" s="29">
        <v>2657.10009765625</v>
      </c>
      <c r="C23" s="21"/>
      <c r="D23" s="28">
        <v>45568</v>
      </c>
      <c r="E23" s="29">
        <v>4203.43</v>
      </c>
      <c r="F23" s="18">
        <f t="shared" si="0"/>
        <v>359089.57494717155</v>
      </c>
      <c r="G23" s="2">
        <f t="shared" si="1"/>
        <v>-1.1608011980485996E-3</v>
      </c>
    </row>
    <row r="24" spans="1:7" x14ac:dyDescent="0.25">
      <c r="A24" s="28">
        <v>45569</v>
      </c>
      <c r="B24" s="29">
        <v>2645.800048828125</v>
      </c>
      <c r="C24" s="21"/>
      <c r="D24" s="28">
        <v>45569</v>
      </c>
      <c r="E24" s="29">
        <v>4197.7299999999996</v>
      </c>
      <c r="F24" s="18">
        <f t="shared" si="0"/>
        <v>357077.58043844427</v>
      </c>
      <c r="G24" s="2">
        <f t="shared" si="1"/>
        <v>-5.6187994296259787E-3</v>
      </c>
    </row>
    <row r="25" spans="1:7" x14ac:dyDescent="0.25">
      <c r="A25" s="28">
        <v>45572</v>
      </c>
      <c r="B25" s="29">
        <v>2644.800048828125</v>
      </c>
      <c r="C25" s="21"/>
      <c r="D25" s="28">
        <v>45570</v>
      </c>
      <c r="E25" s="29">
        <v>4173.66</v>
      </c>
      <c r="F25" s="18">
        <f t="shared" si="0"/>
        <v>354895.89291805448</v>
      </c>
      <c r="G25" s="2">
        <f t="shared" si="1"/>
        <v>-6.1285832425670792E-3</v>
      </c>
    </row>
    <row r="26" spans="1:7" x14ac:dyDescent="0.25">
      <c r="A26" s="28">
        <v>45573</v>
      </c>
      <c r="B26" s="29">
        <v>2615</v>
      </c>
      <c r="C26" s="21"/>
      <c r="D26" s="28">
        <v>45573</v>
      </c>
      <c r="E26" s="29">
        <v>4194.97</v>
      </c>
      <c r="F26" s="18">
        <f t="shared" si="0"/>
        <v>352688.75632578804</v>
      </c>
      <c r="G26" s="2">
        <f t="shared" si="1"/>
        <v>-6.23852920766886E-3</v>
      </c>
    </row>
    <row r="27" spans="1:7" x14ac:dyDescent="0.25">
      <c r="A27" s="28">
        <v>45574</v>
      </c>
      <c r="B27" s="29">
        <v>2606</v>
      </c>
      <c r="C27" s="21"/>
      <c r="D27" s="28">
        <v>45574</v>
      </c>
      <c r="E27" s="29">
        <v>4233.54</v>
      </c>
      <c r="F27" s="18">
        <f t="shared" si="0"/>
        <v>354706.49506295711</v>
      </c>
      <c r="G27" s="2">
        <f t="shared" si="1"/>
        <v>5.7047151653181428E-3</v>
      </c>
    </row>
    <row r="28" spans="1:7" x14ac:dyDescent="0.25">
      <c r="A28" s="28">
        <v>45575</v>
      </c>
      <c r="B28" s="29">
        <v>2620.60009765625</v>
      </c>
      <c r="C28" s="21"/>
      <c r="D28" s="28">
        <v>45575</v>
      </c>
      <c r="E28" s="29">
        <v>4233.17</v>
      </c>
      <c r="F28" s="18">
        <f t="shared" si="0"/>
        <v>356662.56176851294</v>
      </c>
      <c r="G28" s="2">
        <f t="shared" si="1"/>
        <v>5.4994566230074926E-3</v>
      </c>
    </row>
    <row r="29" spans="1:7" x14ac:dyDescent="0.25">
      <c r="A29" s="28">
        <v>45576</v>
      </c>
      <c r="B29" s="29">
        <v>2657.60009765625</v>
      </c>
      <c r="C29" s="21"/>
      <c r="D29" s="28">
        <v>45576</v>
      </c>
      <c r="E29" s="29">
        <v>4217.3999999999996</v>
      </c>
      <c r="F29" s="18">
        <f t="shared" si="0"/>
        <v>360350.79691976646</v>
      </c>
      <c r="G29" s="2">
        <f t="shared" si="1"/>
        <v>1.0287863222569443E-2</v>
      </c>
    </row>
    <row r="30" spans="1:7" x14ac:dyDescent="0.25">
      <c r="A30" s="28">
        <v>45579</v>
      </c>
      <c r="B30" s="29">
        <v>2647.800048828125</v>
      </c>
      <c r="C30" s="21"/>
      <c r="D30" s="28">
        <v>45577</v>
      </c>
      <c r="E30" s="29">
        <v>4192.5600000000004</v>
      </c>
      <c r="F30" s="18">
        <f t="shared" si="0"/>
        <v>356907.38511634315</v>
      </c>
      <c r="G30" s="2">
        <f t="shared" si="1"/>
        <v>-9.6016702053171796E-3</v>
      </c>
    </row>
    <row r="31" spans="1:7" x14ac:dyDescent="0.25">
      <c r="A31" s="28">
        <v>45580</v>
      </c>
      <c r="B31" s="29">
        <v>2661.39990234375</v>
      </c>
      <c r="C31" s="21"/>
      <c r="D31" s="28">
        <v>45581</v>
      </c>
      <c r="E31" s="29">
        <v>4244.84</v>
      </c>
      <c r="F31" s="18">
        <f t="shared" si="0"/>
        <v>363213.95302871231</v>
      </c>
      <c r="G31" s="2">
        <f t="shared" si="1"/>
        <v>1.7515740239880478E-2</v>
      </c>
    </row>
    <row r="32" spans="1:7" x14ac:dyDescent="0.25">
      <c r="A32" s="28">
        <v>45581</v>
      </c>
      <c r="B32" s="29">
        <v>2674</v>
      </c>
      <c r="C32" s="21"/>
      <c r="D32" s="28">
        <v>45582</v>
      </c>
      <c r="E32" s="29">
        <v>4266.2</v>
      </c>
      <c r="F32" s="18">
        <f t="shared" si="0"/>
        <v>366769.89113962976</v>
      </c>
      <c r="G32" s="2">
        <f t="shared" si="1"/>
        <v>9.7425888700681633E-3</v>
      </c>
    </row>
    <row r="33" spans="1:7" x14ac:dyDescent="0.25">
      <c r="A33" s="28">
        <v>45582</v>
      </c>
      <c r="B33" s="29">
        <v>2691</v>
      </c>
      <c r="C33" s="21"/>
      <c r="D33" s="28">
        <v>45583</v>
      </c>
      <c r="E33" s="29">
        <v>4263.17</v>
      </c>
      <c r="F33" s="18">
        <f t="shared" si="0"/>
        <v>368839.48838799912</v>
      </c>
      <c r="G33" s="2">
        <f t="shared" si="1"/>
        <v>5.6269067975769083E-3</v>
      </c>
    </row>
    <row r="34" spans="1:7" x14ac:dyDescent="0.25">
      <c r="A34" s="28">
        <v>45583</v>
      </c>
      <c r="B34" s="29">
        <v>2713.699951171875</v>
      </c>
      <c r="C34" s="21"/>
      <c r="D34" s="28">
        <v>45584</v>
      </c>
      <c r="E34" s="29">
        <v>4252.1499999999996</v>
      </c>
      <c r="F34" s="18">
        <f t="shared" si="0"/>
        <v>370989.36950275238</v>
      </c>
      <c r="G34" s="2">
        <f t="shared" si="1"/>
        <v>5.8118499793711684E-3</v>
      </c>
    </row>
    <row r="35" spans="1:7" x14ac:dyDescent="0.25">
      <c r="A35" s="28">
        <v>45586</v>
      </c>
      <c r="B35" s="29">
        <v>2723.10009765625</v>
      </c>
      <c r="C35" s="21"/>
      <c r="D35" s="28">
        <v>45587</v>
      </c>
      <c r="E35" s="29">
        <v>4286.96</v>
      </c>
      <c r="F35" s="18">
        <f t="shared" si="0"/>
        <v>375322.06671661983</v>
      </c>
      <c r="G35" s="2">
        <f t="shared" si="1"/>
        <v>1.1611093386571925E-2</v>
      </c>
    </row>
    <row r="36" spans="1:7" x14ac:dyDescent="0.25">
      <c r="A36" s="28">
        <v>45587</v>
      </c>
      <c r="B36" s="29">
        <v>2744.199951171875</v>
      </c>
      <c r="C36" s="21"/>
      <c r="D36" s="28">
        <v>45588</v>
      </c>
      <c r="E36" s="29">
        <v>4262.3</v>
      </c>
      <c r="F36" s="18">
        <f t="shared" si="0"/>
        <v>376054.53329512937</v>
      </c>
      <c r="G36" s="2">
        <f t="shared" si="1"/>
        <v>1.9496662805815461E-3</v>
      </c>
    </row>
    <row r="37" spans="1:7" x14ac:dyDescent="0.25">
      <c r="A37" s="28">
        <v>45588</v>
      </c>
      <c r="B37" s="29">
        <v>2714.39990234375</v>
      </c>
      <c r="C37" s="21"/>
      <c r="D37" s="28">
        <v>45589</v>
      </c>
      <c r="E37" s="29">
        <v>4293.91</v>
      </c>
      <c r="F37" s="18">
        <f t="shared" si="0"/>
        <v>374729.45418992033</v>
      </c>
      <c r="G37" s="2">
        <f t="shared" si="1"/>
        <v>-3.5298581300596448E-3</v>
      </c>
    </row>
    <row r="38" spans="1:7" x14ac:dyDescent="0.25">
      <c r="A38" s="28">
        <v>45589</v>
      </c>
      <c r="B38" s="29">
        <v>2734.89990234375</v>
      </c>
      <c r="C38" s="21"/>
      <c r="D38" s="28">
        <v>45590</v>
      </c>
      <c r="E38" s="29">
        <v>4311.83</v>
      </c>
      <c r="F38" s="18">
        <f t="shared" si="0"/>
        <v>379135.21763981227</v>
      </c>
      <c r="G38" s="2">
        <f t="shared" si="1"/>
        <v>1.1688606126059457E-2</v>
      </c>
    </row>
    <row r="39" spans="1:7" x14ac:dyDescent="0.25">
      <c r="A39" s="28">
        <v>45590</v>
      </c>
      <c r="B39" s="29">
        <v>2740.89990234375</v>
      </c>
      <c r="C39" s="21"/>
      <c r="D39" s="28">
        <v>45591</v>
      </c>
      <c r="E39" s="29">
        <v>4316.7299999999996</v>
      </c>
      <c r="F39" s="18">
        <f t="shared" si="0"/>
        <v>380398.78665411239</v>
      </c>
      <c r="G39" s="2">
        <f t="shared" si="1"/>
        <v>3.3272247795189847E-3</v>
      </c>
    </row>
    <row r="40" spans="1:7" x14ac:dyDescent="0.25">
      <c r="A40" s="28">
        <v>45593</v>
      </c>
      <c r="B40" s="29">
        <v>2742.89990234375</v>
      </c>
      <c r="C40" s="21"/>
      <c r="D40" s="28">
        <v>45594</v>
      </c>
      <c r="E40" s="29">
        <v>4342.8999999999996</v>
      </c>
      <c r="F40" s="18">
        <f t="shared" si="0"/>
        <v>382984.19377632637</v>
      </c>
      <c r="G40" s="2">
        <f t="shared" si="1"/>
        <v>6.7735778073386519E-3</v>
      </c>
    </row>
    <row r="41" spans="1:7" x14ac:dyDescent="0.25">
      <c r="A41" s="28">
        <v>45594</v>
      </c>
      <c r="B41" s="29">
        <v>2768.39990234375</v>
      </c>
      <c r="C41" s="21"/>
      <c r="D41" s="28">
        <v>45595</v>
      </c>
      <c r="E41" s="29">
        <v>4367.3900000000003</v>
      </c>
      <c r="F41" s="18">
        <f t="shared" si="0"/>
        <v>388724.45441523992</v>
      </c>
      <c r="G41" s="2">
        <f t="shared" si="1"/>
        <v>1.4877030403641878E-2</v>
      </c>
    </row>
    <row r="42" spans="1:7" x14ac:dyDescent="0.25">
      <c r="A42" s="28">
        <v>45595</v>
      </c>
      <c r="B42" s="29">
        <v>2788.5</v>
      </c>
      <c r="C42" s="21"/>
      <c r="D42" s="28">
        <v>45596</v>
      </c>
      <c r="E42" s="29">
        <v>4413.46</v>
      </c>
      <c r="F42" s="18">
        <f t="shared" si="0"/>
        <v>395677.09067174129</v>
      </c>
      <c r="G42" s="2">
        <f t="shared" si="1"/>
        <v>1.7727701796772591E-2</v>
      </c>
    </row>
    <row r="43" spans="1:7" x14ac:dyDescent="0.25">
      <c r="A43" s="28">
        <v>45596</v>
      </c>
      <c r="B43" s="29">
        <v>2738.300048828125</v>
      </c>
      <c r="C43" s="21"/>
      <c r="D43" s="28">
        <v>45597</v>
      </c>
      <c r="E43" s="29">
        <v>4409.57</v>
      </c>
      <c r="F43" s="18">
        <f t="shared" si="0"/>
        <v>388211.44735533342</v>
      </c>
      <c r="G43" s="2">
        <f t="shared" si="1"/>
        <v>-1.9048292422827368E-2</v>
      </c>
    </row>
    <row r="44" spans="1:7" x14ac:dyDescent="0.25">
      <c r="A44" s="28">
        <v>45597</v>
      </c>
      <c r="B44" s="29">
        <v>2738.60009765625</v>
      </c>
      <c r="C44" s="21"/>
      <c r="D44" s="28">
        <v>45598</v>
      </c>
      <c r="E44" s="29">
        <v>4414</v>
      </c>
      <c r="F44" s="18">
        <f t="shared" si="0"/>
        <v>388644.03837498603</v>
      </c>
      <c r="G44" s="2">
        <f t="shared" si="1"/>
        <v>1.1136976498495148E-3</v>
      </c>
    </row>
    <row r="45" spans="1:7" x14ac:dyDescent="0.25">
      <c r="A45" s="28">
        <v>45600</v>
      </c>
      <c r="B45" s="29">
        <v>2736.10009765625</v>
      </c>
      <c r="C45" s="21"/>
      <c r="D45" s="28">
        <v>45602</v>
      </c>
      <c r="E45" s="29">
        <v>4421.8599999999997</v>
      </c>
      <c r="F45" s="18">
        <f t="shared" si="0"/>
        <v>388980.68070069468</v>
      </c>
      <c r="G45" s="2">
        <f t="shared" si="1"/>
        <v>8.658221336870105E-4</v>
      </c>
    </row>
    <row r="46" spans="1:7" x14ac:dyDescent="0.25">
      <c r="A46" s="28">
        <v>45601</v>
      </c>
      <c r="B46" s="29">
        <v>2740.300048828125</v>
      </c>
      <c r="C46" s="21"/>
      <c r="D46" s="28">
        <v>45603</v>
      </c>
      <c r="E46" s="29">
        <v>4430.3999999999996</v>
      </c>
      <c r="F46" s="18">
        <f t="shared" si="0"/>
        <v>390330.16837294941</v>
      </c>
      <c r="G46" s="2">
        <f t="shared" si="1"/>
        <v>3.4632881672634988E-3</v>
      </c>
    </row>
    <row r="47" spans="1:7" x14ac:dyDescent="0.25">
      <c r="A47" s="28">
        <v>45602</v>
      </c>
      <c r="B47" s="29">
        <v>2667.60009765625</v>
      </c>
      <c r="C47" s="21"/>
      <c r="D47" s="28">
        <v>45604</v>
      </c>
      <c r="E47" s="29">
        <v>4344.55</v>
      </c>
      <c r="F47" s="18">
        <f t="shared" si="0"/>
        <v>372611.78481090133</v>
      </c>
      <c r="G47" s="2">
        <f t="shared" si="1"/>
        <v>-4.6455880291250418E-2</v>
      </c>
    </row>
    <row r="48" spans="1:7" x14ac:dyDescent="0.25">
      <c r="A48" s="28">
        <v>45603</v>
      </c>
      <c r="B48" s="29">
        <v>2698.39990234375</v>
      </c>
      <c r="C48" s="21"/>
      <c r="D48" s="28">
        <v>45605</v>
      </c>
      <c r="E48" s="29">
        <v>4346.7</v>
      </c>
      <c r="F48" s="18">
        <f t="shared" si="0"/>
        <v>377100.44220900658</v>
      </c>
      <c r="G48" s="2">
        <f t="shared" si="1"/>
        <v>1.1974490668096806E-2</v>
      </c>
    </row>
    <row r="49" spans="1:7" x14ac:dyDescent="0.25">
      <c r="A49" s="28">
        <v>45604</v>
      </c>
      <c r="B49" s="29">
        <v>2687.5</v>
      </c>
      <c r="C49" s="21"/>
      <c r="D49" s="28">
        <v>45609</v>
      </c>
      <c r="E49" s="29">
        <v>4413.79</v>
      </c>
      <c r="F49" s="18">
        <f t="shared" si="0"/>
        <v>381374.10493607586</v>
      </c>
      <c r="G49" s="2">
        <f t="shared" si="1"/>
        <v>1.1269219174152877E-2</v>
      </c>
    </row>
    <row r="50" spans="1:7" x14ac:dyDescent="0.25">
      <c r="A50" s="28">
        <v>45607</v>
      </c>
      <c r="B50" s="29">
        <v>2611.199951171875</v>
      </c>
      <c r="C50" s="21"/>
      <c r="D50" s="28">
        <v>45610</v>
      </c>
      <c r="E50" s="29">
        <v>4478.21</v>
      </c>
      <c r="F50" s="18">
        <f t="shared" si="0"/>
        <v>375954.81072834285</v>
      </c>
      <c r="G50" s="2">
        <f t="shared" si="1"/>
        <v>-1.4311844160854284E-2</v>
      </c>
    </row>
    <row r="51" spans="1:7" x14ac:dyDescent="0.25">
      <c r="A51" s="28">
        <v>45608</v>
      </c>
      <c r="B51" s="29">
        <v>2600</v>
      </c>
      <c r="C51" s="21"/>
      <c r="D51" s="28">
        <v>45611</v>
      </c>
      <c r="E51" s="29">
        <v>4475.57</v>
      </c>
      <c r="F51" s="18">
        <f t="shared" si="0"/>
        <v>374121.58373240125</v>
      </c>
      <c r="G51" s="2">
        <f t="shared" si="1"/>
        <v>-4.8881171563095495E-3</v>
      </c>
    </row>
    <row r="52" spans="1:7" x14ac:dyDescent="0.25">
      <c r="A52" s="28">
        <v>45609</v>
      </c>
      <c r="B52" s="29">
        <v>2580.800048828125</v>
      </c>
      <c r="C52" s="21"/>
      <c r="D52" s="28">
        <v>45612</v>
      </c>
      <c r="E52" s="29">
        <v>4454.68</v>
      </c>
      <c r="F52" s="18">
        <f t="shared" si="0"/>
        <v>369625.50635219255</v>
      </c>
      <c r="G52" s="2">
        <f t="shared" si="1"/>
        <v>-1.2090486698188199E-2</v>
      </c>
    </row>
    <row r="53" spans="1:7" x14ac:dyDescent="0.25">
      <c r="A53" s="28">
        <v>45610</v>
      </c>
      <c r="B53" s="29">
        <v>2568.199951171875</v>
      </c>
      <c r="C53" s="21"/>
      <c r="D53" s="28">
        <v>45615</v>
      </c>
      <c r="E53" s="29">
        <v>4400.6899999999996</v>
      </c>
      <c r="F53" s="18">
        <f t="shared" si="0"/>
        <v>363362.97436441435</v>
      </c>
      <c r="G53" s="2">
        <f t="shared" si="1"/>
        <v>-1.7088084032527727E-2</v>
      </c>
    </row>
    <row r="54" spans="1:7" x14ac:dyDescent="0.25">
      <c r="A54" s="28">
        <v>45611</v>
      </c>
      <c r="B54" s="29">
        <v>2565.699951171875</v>
      </c>
      <c r="C54" s="21"/>
      <c r="D54" s="28">
        <v>45616</v>
      </c>
      <c r="E54" s="29">
        <v>4401.34</v>
      </c>
      <c r="F54" s="18">
        <f t="shared" si="0"/>
        <v>363062.87865190755</v>
      </c>
      <c r="G54" s="2">
        <f t="shared" si="1"/>
        <v>-8.2622535619394195E-4</v>
      </c>
    </row>
    <row r="55" spans="1:7" x14ac:dyDescent="0.25">
      <c r="A55" s="28">
        <v>45614</v>
      </c>
      <c r="B55" s="29">
        <v>2610.60009765625</v>
      </c>
      <c r="C55" s="21"/>
      <c r="D55" s="28">
        <v>45617</v>
      </c>
      <c r="E55" s="29">
        <v>4414.0600000000004</v>
      </c>
      <c r="F55" s="18">
        <f t="shared" si="0"/>
        <v>370484.15973421169</v>
      </c>
      <c r="G55" s="2">
        <f t="shared" si="1"/>
        <v>2.0234651377518505E-2</v>
      </c>
    </row>
    <row r="56" spans="1:7" x14ac:dyDescent="0.25">
      <c r="A56" s="28">
        <v>45615</v>
      </c>
      <c r="B56" s="29">
        <v>2627.10009765625</v>
      </c>
      <c r="C56" s="21"/>
      <c r="D56" s="28">
        <v>45618</v>
      </c>
      <c r="E56" s="29">
        <v>4387.09</v>
      </c>
      <c r="F56" s="18">
        <f t="shared" si="0"/>
        <v>370547.78928851959</v>
      </c>
      <c r="G56" s="2">
        <f t="shared" si="1"/>
        <v>1.7173228373808307E-4</v>
      </c>
    </row>
    <row r="57" spans="1:7" x14ac:dyDescent="0.25">
      <c r="A57" s="28">
        <v>45616</v>
      </c>
      <c r="B57" s="29">
        <v>2648.199951171875</v>
      </c>
      <c r="C57" s="21"/>
      <c r="D57" s="28">
        <v>45619</v>
      </c>
      <c r="E57" s="29">
        <v>4418.58</v>
      </c>
      <c r="F57" s="18">
        <f t="shared" si="0"/>
        <v>376204.99520005501</v>
      </c>
      <c r="G57" s="2">
        <f t="shared" si="1"/>
        <v>1.5151772470420242E-2</v>
      </c>
    </row>
    <row r="58" spans="1:7" x14ac:dyDescent="0.25">
      <c r="A58" s="28">
        <v>45617</v>
      </c>
      <c r="B58" s="29">
        <v>2672.10009765625</v>
      </c>
      <c r="C58" s="21"/>
      <c r="D58" s="28">
        <v>45622</v>
      </c>
      <c r="E58" s="29">
        <v>4381.99</v>
      </c>
      <c r="F58" s="18">
        <f t="shared" si="0"/>
        <v>376456.81806635554</v>
      </c>
      <c r="G58" s="2">
        <f t="shared" si="1"/>
        <v>6.6915278883123873E-4</v>
      </c>
    </row>
    <row r="59" spans="1:7" x14ac:dyDescent="0.25">
      <c r="A59" s="28">
        <v>45618</v>
      </c>
      <c r="B59" s="29">
        <v>2709.89990234375</v>
      </c>
      <c r="C59" s="21"/>
      <c r="D59" s="28">
        <v>45623</v>
      </c>
      <c r="E59" s="29">
        <v>4405.96</v>
      </c>
      <c r="F59" s="18">
        <f t="shared" si="0"/>
        <v>383870.6087587761</v>
      </c>
      <c r="G59" s="2">
        <f t="shared" si="1"/>
        <v>1.9502191836474916E-2</v>
      </c>
    </row>
    <row r="60" spans="1:7" x14ac:dyDescent="0.25">
      <c r="A60" s="28">
        <v>45621</v>
      </c>
      <c r="B60" s="29">
        <v>2616.800048828125</v>
      </c>
      <c r="C60" s="21"/>
      <c r="D60" s="28">
        <v>45624</v>
      </c>
      <c r="E60" s="29">
        <v>4406.16</v>
      </c>
      <c r="F60" s="18">
        <f t="shared" si="0"/>
        <v>370699.38442201843</v>
      </c>
      <c r="G60" s="2">
        <f t="shared" si="1"/>
        <v>-3.4914089875147644E-2</v>
      </c>
    </row>
    <row r="61" spans="1:7" x14ac:dyDescent="0.25">
      <c r="A61" s="28">
        <v>45622</v>
      </c>
      <c r="B61" s="29">
        <v>2620.300048828125</v>
      </c>
      <c r="C61" s="21"/>
      <c r="D61" s="28">
        <v>45626</v>
      </c>
      <c r="E61" s="29">
        <v>4419.59</v>
      </c>
      <c r="F61" s="18">
        <f t="shared" si="0"/>
        <v>372326.60410492419</v>
      </c>
      <c r="G61" s="2">
        <f t="shared" si="1"/>
        <v>4.3799875359735356E-3</v>
      </c>
    </row>
    <row r="62" spans="1:7" x14ac:dyDescent="0.25">
      <c r="A62" s="28">
        <v>45623</v>
      </c>
      <c r="B62" s="29">
        <v>2639.89990234375</v>
      </c>
      <c r="C62" s="21"/>
      <c r="D62" s="28">
        <v>45629</v>
      </c>
      <c r="E62" s="29">
        <v>4462.97</v>
      </c>
      <c r="F62" s="18">
        <f t="shared" si="0"/>
        <v>378793.47517712513</v>
      </c>
      <c r="G62" s="2">
        <f t="shared" si="1"/>
        <v>1.7219699073731495E-2</v>
      </c>
    </row>
    <row r="63" spans="1:7" x14ac:dyDescent="0.25">
      <c r="A63" s="28">
        <v>45625</v>
      </c>
      <c r="B63" s="29">
        <v>2657</v>
      </c>
      <c r="C63" s="21"/>
      <c r="D63" s="28">
        <v>45630</v>
      </c>
      <c r="E63" s="29">
        <v>4443.53</v>
      </c>
      <c r="F63" s="18">
        <f t="shared" si="0"/>
        <v>379586.47793355369</v>
      </c>
      <c r="G63" s="2">
        <f t="shared" si="1"/>
        <v>2.0913080368142375E-3</v>
      </c>
    </row>
    <row r="64" spans="1:7" x14ac:dyDescent="0.25">
      <c r="A64" s="28">
        <v>45628</v>
      </c>
      <c r="B64" s="29">
        <v>2634.89990234375</v>
      </c>
      <c r="C64" s="21"/>
      <c r="D64" s="28">
        <v>45631</v>
      </c>
      <c r="E64" s="29">
        <v>4424.5600000000004</v>
      </c>
      <c r="F64" s="18">
        <f t="shared" si="0"/>
        <v>374822.17138870031</v>
      </c>
      <c r="G64" s="2">
        <f t="shared" si="1"/>
        <v>-1.2630740351862391E-2</v>
      </c>
    </row>
    <row r="65" spans="1:7" x14ac:dyDescent="0.25">
      <c r="A65" s="28">
        <v>45629</v>
      </c>
      <c r="B65" s="29">
        <v>2644.699951171875</v>
      </c>
      <c r="C65" s="21"/>
      <c r="D65" s="28">
        <v>45632</v>
      </c>
      <c r="E65" s="29">
        <v>4407.13</v>
      </c>
      <c r="F65" s="18">
        <f t="shared" si="0"/>
        <v>374734.19999812066</v>
      </c>
      <c r="G65" s="2">
        <f t="shared" si="1"/>
        <v>-2.3472921942031756E-4</v>
      </c>
    </row>
    <row r="66" spans="1:7" x14ac:dyDescent="0.25">
      <c r="A66" s="28">
        <v>45630</v>
      </c>
      <c r="B66" s="29">
        <v>2653.800048828125</v>
      </c>
      <c r="C66" s="21"/>
      <c r="D66" s="28">
        <v>45633</v>
      </c>
      <c r="E66" s="29">
        <v>4396.5200000000004</v>
      </c>
      <c r="F66" s="18">
        <f t="shared" si="0"/>
        <v>375118.35302842507</v>
      </c>
      <c r="G66" s="2">
        <f t="shared" si="1"/>
        <v>1.0246096045461661E-3</v>
      </c>
    </row>
    <row r="67" spans="1:7" x14ac:dyDescent="0.25">
      <c r="A67" s="28">
        <v>45631</v>
      </c>
      <c r="B67" s="29">
        <v>2626.60009765625</v>
      </c>
      <c r="C67" s="21"/>
      <c r="D67" s="28">
        <v>45636</v>
      </c>
      <c r="E67" s="29">
        <v>4379.71</v>
      </c>
      <c r="F67" s="18">
        <f t="shared" ref="F67:F130" si="2">(B67*E67)/$J$2</f>
        <v>369854.04518205038</v>
      </c>
      <c r="G67" s="2">
        <f t="shared" ref="G67:G130" si="3">LN(F67/F66)</f>
        <v>-1.4133128919869949E-2</v>
      </c>
    </row>
    <row r="68" spans="1:7" x14ac:dyDescent="0.25">
      <c r="A68" s="28">
        <v>45632</v>
      </c>
      <c r="B68" s="29">
        <v>2638.60009765625</v>
      </c>
      <c r="C68" s="21"/>
      <c r="D68" s="28">
        <v>45637</v>
      </c>
      <c r="E68" s="29">
        <v>4377.34</v>
      </c>
      <c r="F68" s="18">
        <f t="shared" si="2"/>
        <v>371342.7224147048</v>
      </c>
      <c r="G68" s="2">
        <f t="shared" si="3"/>
        <v>4.0169609461529832E-3</v>
      </c>
    </row>
    <row r="69" spans="1:7" x14ac:dyDescent="0.25">
      <c r="A69" s="28">
        <v>45635</v>
      </c>
      <c r="B69" s="29">
        <v>2664.89990234375</v>
      </c>
      <c r="C69" s="21"/>
      <c r="D69" s="28">
        <v>45638</v>
      </c>
      <c r="E69" s="29">
        <v>4361.22</v>
      </c>
      <c r="F69" s="18">
        <f t="shared" si="2"/>
        <v>373662.88106092409</v>
      </c>
      <c r="G69" s="2">
        <f t="shared" si="3"/>
        <v>6.2285871041166891E-3</v>
      </c>
    </row>
    <row r="70" spans="1:7" x14ac:dyDescent="0.25">
      <c r="A70" s="28">
        <v>45636</v>
      </c>
      <c r="B70" s="29">
        <v>2697.60009765625</v>
      </c>
      <c r="C70" s="21"/>
      <c r="D70" s="28">
        <v>45639</v>
      </c>
      <c r="E70" s="29">
        <v>4335.2</v>
      </c>
      <c r="F70" s="18">
        <f t="shared" si="2"/>
        <v>375991.27642731491</v>
      </c>
      <c r="G70" s="2">
        <f t="shared" si="3"/>
        <v>6.2119387467051397E-3</v>
      </c>
    </row>
    <row r="71" spans="1:7" x14ac:dyDescent="0.25">
      <c r="A71" s="28">
        <v>45637</v>
      </c>
      <c r="B71" s="29">
        <v>2733.800048828125</v>
      </c>
      <c r="C71" s="21"/>
      <c r="D71" s="28">
        <v>45640</v>
      </c>
      <c r="E71" s="29">
        <v>4341.32</v>
      </c>
      <c r="F71" s="18">
        <f t="shared" si="2"/>
        <v>381574.73212057486</v>
      </c>
      <c r="G71" s="2">
        <f t="shared" si="3"/>
        <v>1.4740779635274825E-2</v>
      </c>
    </row>
    <row r="72" spans="1:7" x14ac:dyDescent="0.25">
      <c r="A72" s="28">
        <v>45638</v>
      </c>
      <c r="B72" s="29">
        <v>2687.5</v>
      </c>
      <c r="C72" s="21"/>
      <c r="D72" s="28">
        <v>45643</v>
      </c>
      <c r="E72" s="29">
        <v>4324.1899999999996</v>
      </c>
      <c r="F72" s="18">
        <f t="shared" si="2"/>
        <v>373632.20516235015</v>
      </c>
      <c r="G72" s="2">
        <f t="shared" si="3"/>
        <v>-2.10348168706673E-2</v>
      </c>
    </row>
    <row r="73" spans="1:7" x14ac:dyDescent="0.25">
      <c r="A73" s="28">
        <v>45639</v>
      </c>
      <c r="B73" s="29">
        <v>2656</v>
      </c>
      <c r="C73" s="21"/>
      <c r="D73" s="28">
        <v>45644</v>
      </c>
      <c r="E73" s="29">
        <v>4345.32</v>
      </c>
      <c r="F73" s="18">
        <f t="shared" si="2"/>
        <v>371057.22920339246</v>
      </c>
      <c r="G73" s="2">
        <f t="shared" si="3"/>
        <v>-6.9155975701463606E-3</v>
      </c>
    </row>
    <row r="74" spans="1:7" x14ac:dyDescent="0.25">
      <c r="A74" s="28">
        <v>45642</v>
      </c>
      <c r="B74" s="29">
        <v>2651.39990234375</v>
      </c>
      <c r="C74" s="21"/>
      <c r="D74" s="28">
        <v>45645</v>
      </c>
      <c r="E74" s="29">
        <v>4359.1099999999997</v>
      </c>
      <c r="F74" s="18">
        <f t="shared" si="2"/>
        <v>371590.09272897954</v>
      </c>
      <c r="G74" s="2">
        <f t="shared" si="3"/>
        <v>1.4350381433973504E-3</v>
      </c>
    </row>
    <row r="75" spans="1:7" x14ac:dyDescent="0.25">
      <c r="A75" s="28">
        <v>45643</v>
      </c>
      <c r="B75" s="29">
        <v>2644.39990234375</v>
      </c>
      <c r="C75" s="21"/>
      <c r="D75" s="28">
        <v>45646</v>
      </c>
      <c r="E75" s="29">
        <v>4394.5</v>
      </c>
      <c r="F75" s="18">
        <f t="shared" si="2"/>
        <v>373617.88990900241</v>
      </c>
      <c r="G75" s="2">
        <f t="shared" si="3"/>
        <v>5.4422449362084247E-3</v>
      </c>
    </row>
    <row r="76" spans="1:7" x14ac:dyDescent="0.25">
      <c r="A76" s="28">
        <v>45644</v>
      </c>
      <c r="B76" s="29">
        <v>2636.5</v>
      </c>
      <c r="C76" s="21"/>
      <c r="D76" s="28">
        <v>45647</v>
      </c>
      <c r="E76" s="29">
        <v>4374.62</v>
      </c>
      <c r="F76" s="18">
        <f t="shared" si="2"/>
        <v>370816.60369235632</v>
      </c>
      <c r="G76" s="2">
        <f t="shared" si="3"/>
        <v>-7.5259796875856416E-3</v>
      </c>
    </row>
    <row r="77" spans="1:7" x14ac:dyDescent="0.25">
      <c r="A77" s="28">
        <v>45645</v>
      </c>
      <c r="B77" s="29">
        <v>2592.199951171875</v>
      </c>
      <c r="C77" s="21"/>
      <c r="D77" s="28">
        <v>45650</v>
      </c>
      <c r="E77" s="29">
        <v>4395.4399999999996</v>
      </c>
      <c r="F77" s="18">
        <f t="shared" si="2"/>
        <v>366321.08450907667</v>
      </c>
      <c r="G77" s="2">
        <f t="shared" si="3"/>
        <v>-1.2197381820493725E-2</v>
      </c>
    </row>
    <row r="78" spans="1:7" x14ac:dyDescent="0.25">
      <c r="A78" s="28">
        <v>45646</v>
      </c>
      <c r="B78" s="29">
        <v>2628.699951171875</v>
      </c>
      <c r="C78" s="21"/>
      <c r="D78" s="28">
        <v>45651</v>
      </c>
      <c r="E78" s="29">
        <v>4380.9399999999996</v>
      </c>
      <c r="F78" s="18">
        <f t="shared" si="2"/>
        <v>370253.68058168062</v>
      </c>
      <c r="G78" s="2">
        <f t="shared" si="3"/>
        <v>1.0678165004245472E-2</v>
      </c>
    </row>
    <row r="79" spans="1:7" x14ac:dyDescent="0.25">
      <c r="A79" s="28">
        <v>45649</v>
      </c>
      <c r="B79" s="29">
        <v>2612.300048828125</v>
      </c>
      <c r="C79" s="21"/>
      <c r="D79" s="28">
        <v>45653</v>
      </c>
      <c r="E79" s="29">
        <v>4375.8599999999997</v>
      </c>
      <c r="F79" s="18">
        <f t="shared" si="2"/>
        <v>367517.09029728273</v>
      </c>
      <c r="G79" s="2">
        <f t="shared" si="3"/>
        <v>-7.4185721178995608E-3</v>
      </c>
    </row>
    <row r="80" spans="1:7" x14ac:dyDescent="0.25">
      <c r="A80" s="28">
        <v>45650</v>
      </c>
      <c r="B80" s="29">
        <v>2620</v>
      </c>
      <c r="C80" s="21"/>
      <c r="D80" s="28">
        <v>45654</v>
      </c>
      <c r="E80" s="29">
        <v>4401.9799999999996</v>
      </c>
      <c r="F80" s="18">
        <f t="shared" si="2"/>
        <v>370800.59165604279</v>
      </c>
      <c r="G80" s="2">
        <f t="shared" si="3"/>
        <v>8.8946075289256556E-3</v>
      </c>
    </row>
    <row r="81" spans="1:7" x14ac:dyDescent="0.25">
      <c r="A81" s="28">
        <v>45652</v>
      </c>
      <c r="B81" s="29">
        <v>2638.800048828125</v>
      </c>
      <c r="C81" s="21"/>
      <c r="D81" s="28">
        <v>45657</v>
      </c>
      <c r="E81" s="29">
        <v>4409.1499999999996</v>
      </c>
      <c r="F81" s="18">
        <f t="shared" si="2"/>
        <v>374069.60353996587</v>
      </c>
      <c r="G81" s="2">
        <f t="shared" si="3"/>
        <v>8.7774565100213527E-3</v>
      </c>
    </row>
    <row r="82" spans="1:7" x14ac:dyDescent="0.25">
      <c r="A82" s="28">
        <v>45653</v>
      </c>
      <c r="B82" s="29">
        <v>2617.199951171875</v>
      </c>
      <c r="C82" s="21"/>
      <c r="D82" s="28">
        <v>45660</v>
      </c>
      <c r="E82" s="29">
        <v>4410.5</v>
      </c>
      <c r="F82" s="18">
        <f t="shared" si="2"/>
        <v>371121.22412770119</v>
      </c>
      <c r="G82" s="2">
        <f t="shared" si="3"/>
        <v>-7.913126914103407E-3</v>
      </c>
    </row>
    <row r="83" spans="1:7" x14ac:dyDescent="0.25">
      <c r="A83" s="28">
        <v>45656</v>
      </c>
      <c r="B83" s="29">
        <v>2606.10009765625</v>
      </c>
      <c r="C83" s="21"/>
      <c r="D83" s="28">
        <v>45661</v>
      </c>
      <c r="E83" s="29">
        <v>4355.51</v>
      </c>
      <c r="F83" s="18">
        <f t="shared" si="2"/>
        <v>364939.74964055384</v>
      </c>
      <c r="G83" s="2">
        <f t="shared" si="3"/>
        <v>-1.6796488427649737E-2</v>
      </c>
    </row>
    <row r="84" spans="1:7" x14ac:dyDescent="0.25">
      <c r="A84" s="28">
        <v>45657</v>
      </c>
      <c r="B84" s="29">
        <v>2629.199951171875</v>
      </c>
      <c r="C84" s="21"/>
      <c r="D84" s="28">
        <v>45665</v>
      </c>
      <c r="E84" s="29">
        <v>4342.3100000000004</v>
      </c>
      <c r="F84" s="18">
        <f t="shared" si="2"/>
        <v>367058.68329077429</v>
      </c>
      <c r="G84" s="2">
        <f t="shared" si="3"/>
        <v>5.7894647677025502E-3</v>
      </c>
    </row>
    <row r="85" spans="1:7" x14ac:dyDescent="0.25">
      <c r="A85" s="28">
        <v>45659</v>
      </c>
      <c r="B85" s="29">
        <v>2658.89990234375</v>
      </c>
      <c r="C85" s="21"/>
      <c r="D85" s="28">
        <v>45666</v>
      </c>
      <c r="E85" s="29">
        <v>4347.42</v>
      </c>
      <c r="F85" s="18">
        <f t="shared" si="2"/>
        <v>371641.88067384373</v>
      </c>
      <c r="G85" s="2">
        <f t="shared" si="3"/>
        <v>1.2408968985593577E-2</v>
      </c>
    </row>
    <row r="86" spans="1:7" x14ac:dyDescent="0.25">
      <c r="A86" s="28">
        <v>45660</v>
      </c>
      <c r="B86" s="29">
        <v>2645</v>
      </c>
      <c r="C86" s="21"/>
      <c r="D86" s="28">
        <v>45667</v>
      </c>
      <c r="E86" s="29">
        <v>4321.1899999999996</v>
      </c>
      <c r="F86" s="18">
        <f t="shared" si="2"/>
        <v>367468.48667413282</v>
      </c>
      <c r="G86" s="2">
        <f t="shared" si="3"/>
        <v>-1.1293139802861641E-2</v>
      </c>
    </row>
    <row r="87" spans="1:7" x14ac:dyDescent="0.25">
      <c r="A87" s="28">
        <v>45663</v>
      </c>
      <c r="B87" s="29">
        <v>2638.39990234375</v>
      </c>
      <c r="C87" s="21"/>
      <c r="D87" s="28">
        <v>45668</v>
      </c>
      <c r="E87" s="29">
        <v>4343.4799999999996</v>
      </c>
      <c r="F87" s="18">
        <f t="shared" si="2"/>
        <v>368442.32178674091</v>
      </c>
      <c r="G87" s="2">
        <f t="shared" si="3"/>
        <v>2.6466133391503145E-3</v>
      </c>
    </row>
    <row r="88" spans="1:7" x14ac:dyDescent="0.25">
      <c r="A88" s="28">
        <v>45664</v>
      </c>
      <c r="B88" s="29">
        <v>2656.699951171875</v>
      </c>
      <c r="C88" s="21"/>
      <c r="D88" s="28">
        <v>45671</v>
      </c>
      <c r="E88" s="29">
        <v>4331.2299999999996</v>
      </c>
      <c r="F88" s="18">
        <f t="shared" si="2"/>
        <v>369951.52032373945</v>
      </c>
      <c r="G88" s="2">
        <f t="shared" si="3"/>
        <v>4.0877931328623072E-3</v>
      </c>
    </row>
    <row r="89" spans="1:7" x14ac:dyDescent="0.25">
      <c r="A89" s="28">
        <v>45665</v>
      </c>
      <c r="B89" s="29">
        <v>2664.5</v>
      </c>
      <c r="C89" s="21"/>
      <c r="D89" s="28">
        <v>45672</v>
      </c>
      <c r="E89" s="29">
        <v>4300.24</v>
      </c>
      <c r="F89" s="18">
        <f t="shared" si="2"/>
        <v>368382.91595748544</v>
      </c>
      <c r="G89" s="2">
        <f t="shared" si="3"/>
        <v>-4.2490412181370937E-3</v>
      </c>
    </row>
    <row r="90" spans="1:7" x14ac:dyDescent="0.25">
      <c r="A90" s="28">
        <v>45666</v>
      </c>
      <c r="B90" s="29">
        <v>2683.800048828125</v>
      </c>
      <c r="C90" s="21"/>
      <c r="D90" s="28">
        <v>45673</v>
      </c>
      <c r="E90" s="29">
        <v>4294.1099999999997</v>
      </c>
      <c r="F90" s="18">
        <f t="shared" si="2"/>
        <v>370522.32783420983</v>
      </c>
      <c r="G90" s="2">
        <f t="shared" si="3"/>
        <v>5.790777296880426E-3</v>
      </c>
    </row>
    <row r="91" spans="1:7" x14ac:dyDescent="0.25">
      <c r="A91" s="28">
        <v>45667</v>
      </c>
      <c r="B91" s="29">
        <v>2708.5</v>
      </c>
      <c r="C91" s="21"/>
      <c r="D91" s="28">
        <v>45674</v>
      </c>
      <c r="E91" s="29">
        <v>4338.1499999999996</v>
      </c>
      <c r="F91" s="18">
        <f t="shared" si="2"/>
        <v>377767.39078249922</v>
      </c>
      <c r="G91" s="2">
        <f t="shared" si="3"/>
        <v>1.9364930922255486E-2</v>
      </c>
    </row>
    <row r="92" spans="1:7" x14ac:dyDescent="0.25">
      <c r="A92" s="28">
        <v>45670</v>
      </c>
      <c r="B92" s="29">
        <v>2673.5</v>
      </c>
      <c r="C92" s="21"/>
      <c r="D92" s="28">
        <v>45675</v>
      </c>
      <c r="E92" s="29">
        <v>4344.2700000000004</v>
      </c>
      <c r="F92" s="18">
        <f t="shared" si="2"/>
        <v>373411.81886778655</v>
      </c>
      <c r="G92" s="2">
        <f t="shared" si="3"/>
        <v>-1.1596755266406878E-2</v>
      </c>
    </row>
    <row r="93" spans="1:7" x14ac:dyDescent="0.25">
      <c r="A93" s="28">
        <v>45671</v>
      </c>
      <c r="B93" s="29">
        <v>2677.5</v>
      </c>
      <c r="C93" s="21"/>
      <c r="D93" s="28">
        <v>45679</v>
      </c>
      <c r="E93" s="29">
        <v>4307.07</v>
      </c>
      <c r="F93" s="18">
        <f t="shared" si="2"/>
        <v>370768.19415249419</v>
      </c>
      <c r="G93" s="2">
        <f t="shared" si="3"/>
        <v>-7.1048289111982901E-3</v>
      </c>
    </row>
    <row r="94" spans="1:7" x14ac:dyDescent="0.25">
      <c r="A94" s="28">
        <v>45672</v>
      </c>
      <c r="B94" s="29">
        <v>2712.5</v>
      </c>
      <c r="C94" s="21"/>
      <c r="D94" s="28">
        <v>45680</v>
      </c>
      <c r="E94" s="29">
        <v>4278.01</v>
      </c>
      <c r="F94" s="18">
        <f t="shared" si="2"/>
        <v>373080.54657735239</v>
      </c>
      <c r="G94" s="2">
        <f t="shared" si="3"/>
        <v>6.2172851732718859E-3</v>
      </c>
    </row>
    <row r="95" spans="1:7" x14ac:dyDescent="0.25">
      <c r="A95" s="28">
        <v>45673</v>
      </c>
      <c r="B95" s="29">
        <v>2746.39990234375</v>
      </c>
      <c r="C95" s="21"/>
      <c r="D95" s="28">
        <v>45681</v>
      </c>
      <c r="E95" s="29">
        <v>4245.6499999999996</v>
      </c>
      <c r="F95" s="18">
        <f t="shared" si="2"/>
        <v>374885.83094304561</v>
      </c>
      <c r="G95" s="2">
        <f t="shared" si="3"/>
        <v>4.827189899102715E-3</v>
      </c>
    </row>
    <row r="96" spans="1:7" x14ac:dyDescent="0.25">
      <c r="A96" s="28">
        <v>45674</v>
      </c>
      <c r="B96" s="29">
        <v>2744.300048828125</v>
      </c>
      <c r="C96" s="21"/>
      <c r="D96" s="28">
        <v>45682</v>
      </c>
      <c r="E96" s="29">
        <v>4188.46</v>
      </c>
      <c r="F96" s="18">
        <f t="shared" si="2"/>
        <v>369553.25143955124</v>
      </c>
      <c r="G96" s="2">
        <f t="shared" si="3"/>
        <v>-1.4326681229926932E-2</v>
      </c>
    </row>
    <row r="97" spans="1:7" x14ac:dyDescent="0.25">
      <c r="A97" s="28">
        <v>45678</v>
      </c>
      <c r="B97" s="29">
        <v>2755</v>
      </c>
      <c r="C97" s="21"/>
      <c r="D97" s="28">
        <v>45685</v>
      </c>
      <c r="E97" s="29">
        <v>4220.8599999999997</v>
      </c>
      <c r="F97" s="18">
        <f t="shared" si="2"/>
        <v>373863.96944537078</v>
      </c>
      <c r="G97" s="2">
        <f t="shared" si="3"/>
        <v>1.159716562518937E-2</v>
      </c>
    </row>
    <row r="98" spans="1:7" x14ac:dyDescent="0.25">
      <c r="A98" s="28">
        <v>45679</v>
      </c>
      <c r="B98" s="29">
        <v>2767.60009765625</v>
      </c>
      <c r="C98" s="21"/>
      <c r="D98" s="28">
        <v>45686</v>
      </c>
      <c r="E98" s="29">
        <v>4219</v>
      </c>
      <c r="F98" s="18">
        <f t="shared" si="2"/>
        <v>375408.34701835387</v>
      </c>
      <c r="G98" s="2">
        <f t="shared" si="3"/>
        <v>4.1223457109244768E-3</v>
      </c>
    </row>
    <row r="99" spans="1:7" x14ac:dyDescent="0.25">
      <c r="A99" s="28">
        <v>45680</v>
      </c>
      <c r="B99" s="29">
        <v>2763.10009765625</v>
      </c>
      <c r="C99" s="21"/>
      <c r="D99" s="28">
        <v>45687</v>
      </c>
      <c r="E99" s="29">
        <v>4195.6000000000004</v>
      </c>
      <c r="F99" s="18">
        <f t="shared" si="2"/>
        <v>372719.19291436137</v>
      </c>
      <c r="G99" s="2">
        <f t="shared" si="3"/>
        <v>-7.1890567912615199E-3</v>
      </c>
    </row>
    <row r="100" spans="1:7" x14ac:dyDescent="0.25">
      <c r="A100" s="28">
        <v>45681</v>
      </c>
      <c r="B100" s="29">
        <v>2777.300048828125</v>
      </c>
      <c r="C100" s="21"/>
      <c r="D100" s="28">
        <v>45688</v>
      </c>
      <c r="E100" s="29">
        <v>4170.01</v>
      </c>
      <c r="F100" s="18">
        <f t="shared" si="2"/>
        <v>372349.65888487973</v>
      </c>
      <c r="G100" s="2">
        <f t="shared" si="3"/>
        <v>-9.9194607019126996E-4</v>
      </c>
    </row>
    <row r="101" spans="1:7" x14ac:dyDescent="0.25">
      <c r="A101" s="28">
        <v>45684</v>
      </c>
      <c r="B101" s="29">
        <v>2737.5</v>
      </c>
      <c r="C101" s="21"/>
      <c r="D101" s="28">
        <v>45689</v>
      </c>
      <c r="E101" s="29">
        <v>4183.93</v>
      </c>
      <c r="F101" s="18">
        <f t="shared" si="2"/>
        <v>368238.84508628311</v>
      </c>
      <c r="G101" s="2">
        <f t="shared" si="3"/>
        <v>-1.1101592845046662E-2</v>
      </c>
    </row>
    <row r="102" spans="1:7" x14ac:dyDescent="0.25">
      <c r="A102" s="28">
        <v>45685</v>
      </c>
      <c r="B102" s="29">
        <v>2766.800048828125</v>
      </c>
      <c r="C102" s="21"/>
      <c r="D102" s="28">
        <v>45692</v>
      </c>
      <c r="E102" s="29">
        <v>4198.66</v>
      </c>
      <c r="F102" s="18">
        <f t="shared" si="2"/>
        <v>373490.48685813462</v>
      </c>
      <c r="G102" s="2">
        <f t="shared" si="3"/>
        <v>1.4160770792160481E-2</v>
      </c>
    </row>
    <row r="103" spans="1:7" x14ac:dyDescent="0.25">
      <c r="A103" s="28">
        <v>45686</v>
      </c>
      <c r="B103" s="29">
        <v>2769.10009765625</v>
      </c>
      <c r="C103" s="21"/>
      <c r="D103" s="28">
        <v>45693</v>
      </c>
      <c r="E103" s="29">
        <v>4153.54</v>
      </c>
      <c r="F103" s="18">
        <f t="shared" si="2"/>
        <v>369783.99854061141</v>
      </c>
      <c r="G103" s="2">
        <f t="shared" si="3"/>
        <v>-9.9734865493661985E-3</v>
      </c>
    </row>
    <row r="104" spans="1:7" x14ac:dyDescent="0.25">
      <c r="A104" s="28">
        <v>45687</v>
      </c>
      <c r="B104" s="29">
        <v>2823</v>
      </c>
      <c r="C104" s="21"/>
      <c r="D104" s="28">
        <v>45694</v>
      </c>
      <c r="E104" s="29">
        <v>4180.0600000000004</v>
      </c>
      <c r="F104" s="18">
        <f t="shared" si="2"/>
        <v>379388.75630778359</v>
      </c>
      <c r="G104" s="2">
        <f t="shared" si="3"/>
        <v>2.5642374165433159E-2</v>
      </c>
    </row>
    <row r="105" spans="1:7" x14ac:dyDescent="0.25">
      <c r="A105" s="28">
        <v>45688</v>
      </c>
      <c r="B105" s="29">
        <v>2812.5</v>
      </c>
      <c r="C105" s="21"/>
      <c r="D105" s="28">
        <v>45695</v>
      </c>
      <c r="E105" s="29">
        <v>4150.99</v>
      </c>
      <c r="F105" s="18">
        <f t="shared" si="2"/>
        <v>375349.01484068175</v>
      </c>
      <c r="G105" s="2">
        <f t="shared" si="3"/>
        <v>-1.0705122231504103E-2</v>
      </c>
    </row>
    <row r="106" spans="1:7" x14ac:dyDescent="0.25">
      <c r="A106" s="28">
        <v>45691</v>
      </c>
      <c r="B106" s="29">
        <v>2833.89990234375</v>
      </c>
      <c r="C106" s="21"/>
      <c r="D106" s="28">
        <v>45696</v>
      </c>
      <c r="E106" s="29">
        <v>4113.7</v>
      </c>
      <c r="F106" s="18">
        <f t="shared" si="2"/>
        <v>374807.42436715256</v>
      </c>
      <c r="G106" s="2">
        <f t="shared" si="3"/>
        <v>-1.4439403285022054E-3</v>
      </c>
    </row>
    <row r="107" spans="1:7" x14ac:dyDescent="0.25">
      <c r="A107" s="28">
        <v>45692</v>
      </c>
      <c r="B107" s="29">
        <v>2853.300048828125</v>
      </c>
      <c r="C107" s="21"/>
      <c r="D107" s="28">
        <v>45699</v>
      </c>
      <c r="E107" s="29">
        <v>4132.93</v>
      </c>
      <c r="F107" s="18">
        <f t="shared" si="2"/>
        <v>379137.33717393369</v>
      </c>
      <c r="G107" s="2">
        <f t="shared" si="3"/>
        <v>1.1486147611614357E-2</v>
      </c>
    </row>
    <row r="108" spans="1:7" x14ac:dyDescent="0.25">
      <c r="A108" s="28">
        <v>45693</v>
      </c>
      <c r="B108" s="29">
        <v>2871.60009765625</v>
      </c>
      <c r="C108" s="21"/>
      <c r="D108" s="28">
        <v>45700</v>
      </c>
      <c r="E108" s="29">
        <v>4153.8</v>
      </c>
      <c r="F108" s="18">
        <f t="shared" si="2"/>
        <v>383495.79252325039</v>
      </c>
      <c r="G108" s="2">
        <f t="shared" si="3"/>
        <v>1.1430142834104741E-2</v>
      </c>
    </row>
    <row r="109" spans="1:7" x14ac:dyDescent="0.25">
      <c r="A109" s="28">
        <v>45694</v>
      </c>
      <c r="B109" s="29">
        <v>2856</v>
      </c>
      <c r="C109" s="21"/>
      <c r="D109" s="28">
        <v>45701</v>
      </c>
      <c r="E109" s="29">
        <v>4165.07</v>
      </c>
      <c r="F109" s="18">
        <f t="shared" si="2"/>
        <v>382447.27419026033</v>
      </c>
      <c r="G109" s="2">
        <f t="shared" si="3"/>
        <v>-2.7378509800952936E-3</v>
      </c>
    </row>
    <row r="110" spans="1:7" x14ac:dyDescent="0.25">
      <c r="A110" s="28">
        <v>45695</v>
      </c>
      <c r="B110" s="29">
        <v>2867.300048828125</v>
      </c>
      <c r="C110" s="21"/>
      <c r="D110" s="28">
        <v>45702</v>
      </c>
      <c r="E110" s="29">
        <v>4161.46</v>
      </c>
      <c r="F110" s="18">
        <f t="shared" si="2"/>
        <v>383627.67409964564</v>
      </c>
      <c r="G110" s="2">
        <f t="shared" si="3"/>
        <v>3.0816850131619904E-3</v>
      </c>
    </row>
    <row r="111" spans="1:7" x14ac:dyDescent="0.25">
      <c r="A111" s="28">
        <v>45698</v>
      </c>
      <c r="B111" s="29">
        <v>2914.300048828125</v>
      </c>
      <c r="C111" s="21"/>
      <c r="D111" s="28">
        <v>45703</v>
      </c>
      <c r="E111" s="29">
        <v>4100.66</v>
      </c>
      <c r="F111" s="18">
        <f t="shared" si="2"/>
        <v>384219.2213774487</v>
      </c>
      <c r="G111" s="2">
        <f t="shared" si="3"/>
        <v>1.5407951723651176E-3</v>
      </c>
    </row>
    <row r="112" spans="1:7" x14ac:dyDescent="0.25">
      <c r="A112" s="28">
        <v>45699</v>
      </c>
      <c r="B112" s="29">
        <v>2912.5</v>
      </c>
      <c r="C112" s="21"/>
      <c r="D112" s="28">
        <v>45707</v>
      </c>
      <c r="E112" s="29">
        <v>4111.38</v>
      </c>
      <c r="F112" s="18">
        <f t="shared" si="2"/>
        <v>384985.71484458615</v>
      </c>
      <c r="G112" s="2">
        <f t="shared" si="3"/>
        <v>1.9929506032605893E-3</v>
      </c>
    </row>
    <row r="113" spans="1:7" x14ac:dyDescent="0.25">
      <c r="A113" s="28">
        <v>45700</v>
      </c>
      <c r="B113" s="29">
        <v>2909</v>
      </c>
      <c r="C113" s="21"/>
      <c r="D113" s="28">
        <v>45708</v>
      </c>
      <c r="E113" s="29">
        <v>4098.67</v>
      </c>
      <c r="F113" s="18">
        <f t="shared" si="2"/>
        <v>383334.34897541744</v>
      </c>
      <c r="G113" s="2">
        <f t="shared" si="3"/>
        <v>-4.2986471128613054E-3</v>
      </c>
    </row>
    <row r="114" spans="1:7" x14ac:dyDescent="0.25">
      <c r="A114" s="28">
        <v>45701</v>
      </c>
      <c r="B114" s="29">
        <v>2925.89990234375</v>
      </c>
      <c r="C114" s="21"/>
      <c r="D114" s="28">
        <v>45709</v>
      </c>
      <c r="E114" s="29">
        <v>4077.56</v>
      </c>
      <c r="F114" s="18">
        <f t="shared" si="2"/>
        <v>383575.52380770439</v>
      </c>
      <c r="G114" s="2">
        <f t="shared" si="3"/>
        <v>6.2895223753485572E-4</v>
      </c>
    </row>
    <row r="115" spans="1:7" x14ac:dyDescent="0.25">
      <c r="A115" s="28">
        <v>45702</v>
      </c>
      <c r="B115" s="29">
        <v>2883.60009765625</v>
      </c>
      <c r="C115" s="21"/>
      <c r="D115" s="28">
        <v>45710</v>
      </c>
      <c r="E115" s="29">
        <v>4073.56</v>
      </c>
      <c r="F115" s="18">
        <f t="shared" si="2"/>
        <v>377659.32372578338</v>
      </c>
      <c r="G115" s="2">
        <f t="shared" si="3"/>
        <v>-1.5544005168379523E-2</v>
      </c>
    </row>
    <row r="116" spans="1:7" x14ac:dyDescent="0.25">
      <c r="A116" s="28">
        <v>45706</v>
      </c>
      <c r="B116" s="29">
        <v>2931.60009765625</v>
      </c>
      <c r="C116" s="21"/>
      <c r="D116" s="28">
        <v>45713</v>
      </c>
      <c r="E116" s="29">
        <v>4112.63</v>
      </c>
      <c r="F116" s="18">
        <f t="shared" si="2"/>
        <v>387628.25735366094</v>
      </c>
      <c r="G116" s="2">
        <f t="shared" si="3"/>
        <v>2.6054251492585747E-2</v>
      </c>
    </row>
    <row r="117" spans="1:7" x14ac:dyDescent="0.25">
      <c r="A117" s="28">
        <v>45707</v>
      </c>
      <c r="B117" s="29">
        <v>2919.39990234375</v>
      </c>
      <c r="C117" s="21"/>
      <c r="D117" s="28">
        <v>45714</v>
      </c>
      <c r="E117" s="29">
        <v>4126.54</v>
      </c>
      <c r="F117" s="18">
        <f t="shared" si="2"/>
        <v>387320.70213506097</v>
      </c>
      <c r="G117" s="2">
        <f t="shared" si="3"/>
        <v>-7.9374320329499799E-4</v>
      </c>
    </row>
    <row r="118" spans="1:7" x14ac:dyDescent="0.25">
      <c r="A118" s="28">
        <v>45708</v>
      </c>
      <c r="B118" s="29">
        <v>2940</v>
      </c>
      <c r="C118" s="21"/>
      <c r="D118" s="28">
        <v>45715</v>
      </c>
      <c r="E118" s="29">
        <v>4123.1000000000004</v>
      </c>
      <c r="F118" s="18">
        <f t="shared" si="2"/>
        <v>389728.58494070353</v>
      </c>
      <c r="G118" s="2">
        <f t="shared" si="3"/>
        <v>6.1975232530978724E-3</v>
      </c>
    </row>
    <row r="119" spans="1:7" x14ac:dyDescent="0.25">
      <c r="A119" s="28">
        <v>45709</v>
      </c>
      <c r="B119" s="29">
        <v>2937.60009765625</v>
      </c>
      <c r="C119" s="21"/>
      <c r="D119" s="28">
        <v>45716</v>
      </c>
      <c r="E119" s="29">
        <v>4120.1099999999997</v>
      </c>
      <c r="F119" s="18">
        <f t="shared" si="2"/>
        <v>389128.0584540469</v>
      </c>
      <c r="G119" s="2">
        <f t="shared" si="3"/>
        <v>-1.5420722433407317E-3</v>
      </c>
    </row>
    <row r="120" spans="1:7" x14ac:dyDescent="0.25">
      <c r="A120" s="28">
        <v>45712</v>
      </c>
      <c r="B120" s="29">
        <v>2947.89990234375</v>
      </c>
      <c r="C120" s="21"/>
      <c r="D120" s="28">
        <v>45717</v>
      </c>
      <c r="E120" s="29">
        <v>4134.04</v>
      </c>
      <c r="F120" s="18">
        <f t="shared" si="2"/>
        <v>391812.66424482665</v>
      </c>
      <c r="G120" s="2">
        <f t="shared" si="3"/>
        <v>6.8753396715422431E-3</v>
      </c>
    </row>
    <row r="121" spans="1:7" x14ac:dyDescent="0.25">
      <c r="A121" s="28">
        <v>45713</v>
      </c>
      <c r="B121" s="29">
        <v>2904.5</v>
      </c>
      <c r="C121" s="21"/>
      <c r="D121" s="28">
        <v>45720</v>
      </c>
      <c r="E121" s="29">
        <v>4116.6099999999997</v>
      </c>
      <c r="F121" s="18">
        <f t="shared" si="2"/>
        <v>384416.63039419439</v>
      </c>
      <c r="G121" s="2">
        <f t="shared" si="3"/>
        <v>-1.9056888813874122E-2</v>
      </c>
    </row>
    <row r="122" spans="1:7" x14ac:dyDescent="0.25">
      <c r="A122" s="28">
        <v>45714</v>
      </c>
      <c r="B122" s="29">
        <v>2916.800048828125</v>
      </c>
      <c r="C122" s="21"/>
      <c r="D122" s="28">
        <v>45721</v>
      </c>
      <c r="E122" s="29">
        <v>4144.18</v>
      </c>
      <c r="F122" s="18">
        <f t="shared" si="2"/>
        <v>388630.00763800595</v>
      </c>
      <c r="G122" s="2">
        <f t="shared" si="3"/>
        <v>1.0900814410457921E-2</v>
      </c>
    </row>
    <row r="123" spans="1:7" x14ac:dyDescent="0.25">
      <c r="A123" s="28">
        <v>45715</v>
      </c>
      <c r="B123" s="29">
        <v>2883.199951171875</v>
      </c>
      <c r="C123" s="21"/>
      <c r="D123" s="28">
        <v>45722</v>
      </c>
      <c r="E123" s="29">
        <v>4125.63</v>
      </c>
      <c r="F123" s="18">
        <f t="shared" si="2"/>
        <v>382433.65174382122</v>
      </c>
      <c r="G123" s="2">
        <f t="shared" si="3"/>
        <v>-1.607257509561983E-2</v>
      </c>
    </row>
    <row r="124" spans="1:7" x14ac:dyDescent="0.25">
      <c r="A124" s="28">
        <v>45716</v>
      </c>
      <c r="B124" s="29">
        <v>2836.800048828125</v>
      </c>
      <c r="C124" s="21"/>
      <c r="D124" s="28">
        <v>45723</v>
      </c>
      <c r="E124" s="29">
        <v>4104.5600000000004</v>
      </c>
      <c r="F124" s="18">
        <f t="shared" si="2"/>
        <v>374357.37757837959</v>
      </c>
      <c r="G124" s="2">
        <f t="shared" si="3"/>
        <v>-2.1344282542611875E-2</v>
      </c>
    </row>
    <row r="125" spans="1:7" x14ac:dyDescent="0.25">
      <c r="A125" s="28">
        <v>45719</v>
      </c>
      <c r="B125" s="29">
        <v>2890.199951171875</v>
      </c>
      <c r="C125" s="21"/>
      <c r="D125" s="28">
        <v>45724</v>
      </c>
      <c r="E125" s="29">
        <v>4116.8</v>
      </c>
      <c r="F125" s="18">
        <f t="shared" si="2"/>
        <v>382541.64431496535</v>
      </c>
      <c r="G125" s="2">
        <f t="shared" si="3"/>
        <v>2.1626625181434163E-2</v>
      </c>
    </row>
    <row r="126" spans="1:7" x14ac:dyDescent="0.25">
      <c r="A126" s="28">
        <v>45720</v>
      </c>
      <c r="B126" s="29">
        <v>2909.60009765625</v>
      </c>
      <c r="C126" s="21"/>
      <c r="D126" s="28">
        <v>45727</v>
      </c>
      <c r="E126" s="29">
        <v>4161.96</v>
      </c>
      <c r="F126" s="18">
        <f t="shared" si="2"/>
        <v>389333.94167823088</v>
      </c>
      <c r="G126" s="2">
        <f t="shared" si="3"/>
        <v>1.7599915882247356E-2</v>
      </c>
    </row>
    <row r="127" spans="1:7" x14ac:dyDescent="0.25">
      <c r="A127" s="28">
        <v>45721</v>
      </c>
      <c r="B127" s="29">
        <v>2915.300048828125</v>
      </c>
      <c r="C127" s="21"/>
      <c r="D127" s="28">
        <v>45728</v>
      </c>
      <c r="E127" s="29">
        <v>4152.76</v>
      </c>
      <c r="F127" s="18">
        <f t="shared" si="2"/>
        <v>389234.34536332882</v>
      </c>
      <c r="G127" s="2">
        <f t="shared" si="3"/>
        <v>-2.5584477842983169E-4</v>
      </c>
    </row>
    <row r="128" spans="1:7" x14ac:dyDescent="0.25">
      <c r="A128" s="28">
        <v>45722</v>
      </c>
      <c r="B128" s="29">
        <v>2916.60009765625</v>
      </c>
      <c r="C128" s="21"/>
      <c r="D128" s="28">
        <v>45729</v>
      </c>
      <c r="E128" s="29">
        <v>4110.08</v>
      </c>
      <c r="F128" s="18">
        <f t="shared" si="2"/>
        <v>385405.77976076934</v>
      </c>
      <c r="G128" s="2">
        <f t="shared" si="3"/>
        <v>-9.8848398177394849E-3</v>
      </c>
    </row>
    <row r="129" spans="1:7" x14ac:dyDescent="0.25">
      <c r="A129" s="28">
        <v>45723</v>
      </c>
      <c r="B129" s="29">
        <v>2904.699951171875</v>
      </c>
      <c r="C129" s="21"/>
      <c r="D129" s="28">
        <v>45730</v>
      </c>
      <c r="E129" s="29">
        <v>4114.18</v>
      </c>
      <c r="F129" s="18">
        <f t="shared" si="2"/>
        <v>384216.1608477257</v>
      </c>
      <c r="G129" s="2">
        <f t="shared" si="3"/>
        <v>-3.0914395697584341E-3</v>
      </c>
    </row>
    <row r="130" spans="1:7" x14ac:dyDescent="0.25">
      <c r="A130" s="28">
        <v>45726</v>
      </c>
      <c r="B130" s="29">
        <v>2891</v>
      </c>
      <c r="C130" s="21"/>
      <c r="D130" s="28">
        <v>45731</v>
      </c>
      <c r="E130" s="29">
        <v>4102.67</v>
      </c>
      <c r="F130" s="18">
        <f t="shared" si="2"/>
        <v>381334.18480084516</v>
      </c>
      <c r="G130" s="2">
        <f t="shared" si="3"/>
        <v>-7.5291969441268532E-3</v>
      </c>
    </row>
    <row r="131" spans="1:7" x14ac:dyDescent="0.25">
      <c r="A131" s="28">
        <v>45727</v>
      </c>
      <c r="B131" s="29">
        <v>2912.89990234375</v>
      </c>
      <c r="C131" s="21"/>
      <c r="D131" s="28">
        <v>45734</v>
      </c>
      <c r="E131" s="29">
        <v>4076.7</v>
      </c>
      <c r="F131" s="18">
        <f t="shared" ref="F131:F194" si="4">(B131*E131)/$J$2</f>
        <v>381790.72739176109</v>
      </c>
      <c r="G131" s="2">
        <f t="shared" ref="G131:G194" si="5">LN(F131/F130)</f>
        <v>1.1965082992007425E-3</v>
      </c>
    </row>
    <row r="132" spans="1:7" x14ac:dyDescent="0.25">
      <c r="A132" s="28">
        <v>45728</v>
      </c>
      <c r="B132" s="29">
        <v>2939.10009765625</v>
      </c>
      <c r="C132" s="21"/>
      <c r="D132" s="28">
        <v>45735</v>
      </c>
      <c r="E132" s="29">
        <v>4126.03</v>
      </c>
      <c r="F132" s="18">
        <f t="shared" si="4"/>
        <v>389886.16140600131</v>
      </c>
      <c r="G132" s="2">
        <f t="shared" si="5"/>
        <v>2.0982178245939471E-2</v>
      </c>
    </row>
    <row r="133" spans="1:7" x14ac:dyDescent="0.25">
      <c r="A133" s="28">
        <v>45729</v>
      </c>
      <c r="B133" s="29">
        <v>2984.300048828125</v>
      </c>
      <c r="C133" s="21"/>
      <c r="D133" s="28">
        <v>45736</v>
      </c>
      <c r="E133" s="29">
        <v>4143.1400000000003</v>
      </c>
      <c r="F133" s="18">
        <f t="shared" si="4"/>
        <v>397523.81972621655</v>
      </c>
      <c r="G133" s="2">
        <f t="shared" si="5"/>
        <v>1.9400053454933348E-2</v>
      </c>
    </row>
    <row r="134" spans="1:7" x14ac:dyDescent="0.25">
      <c r="A134" s="28">
        <v>45730</v>
      </c>
      <c r="B134" s="29">
        <v>2994.5</v>
      </c>
      <c r="C134" s="21"/>
      <c r="D134" s="28">
        <v>45737</v>
      </c>
      <c r="E134" s="29">
        <v>4187.72</v>
      </c>
      <c r="F134" s="18">
        <f t="shared" si="4"/>
        <v>403174.4624768123</v>
      </c>
      <c r="G134" s="2">
        <f t="shared" si="5"/>
        <v>1.4114521501635122E-2</v>
      </c>
    </row>
    <row r="135" spans="1:7" x14ac:dyDescent="0.25">
      <c r="A135" s="28">
        <v>45733</v>
      </c>
      <c r="B135" s="29">
        <v>3000</v>
      </c>
      <c r="C135" s="21"/>
      <c r="D135" s="28">
        <v>45738</v>
      </c>
      <c r="E135" s="29">
        <v>4168.82</v>
      </c>
      <c r="F135" s="18">
        <f t="shared" si="4"/>
        <v>402092.02593068313</v>
      </c>
      <c r="G135" s="2">
        <f t="shared" si="5"/>
        <v>-2.6883949938344806E-3</v>
      </c>
    </row>
    <row r="136" spans="1:7" x14ac:dyDescent="0.25">
      <c r="A136" s="28">
        <v>45734</v>
      </c>
      <c r="B136" s="29">
        <v>3035.10009765625</v>
      </c>
      <c r="C136" s="21"/>
      <c r="D136" s="28">
        <v>45742</v>
      </c>
      <c r="E136" s="29">
        <v>4107.1400000000003</v>
      </c>
      <c r="F136" s="18">
        <f t="shared" si="4"/>
        <v>400777.73604679113</v>
      </c>
      <c r="G136" s="2">
        <f t="shared" si="5"/>
        <v>-3.2739832040514206E-3</v>
      </c>
    </row>
    <row r="137" spans="1:7" x14ac:dyDescent="0.25">
      <c r="A137" s="28">
        <v>45735</v>
      </c>
      <c r="B137" s="29">
        <v>3035.89990234375</v>
      </c>
      <c r="C137" s="21"/>
      <c r="D137" s="28">
        <v>45743</v>
      </c>
      <c r="E137" s="29">
        <v>4131.42</v>
      </c>
      <c r="F137" s="18">
        <f t="shared" si="4"/>
        <v>403253.23291642481</v>
      </c>
      <c r="G137" s="2">
        <f t="shared" si="5"/>
        <v>6.1577346825726804E-3</v>
      </c>
    </row>
    <row r="138" spans="1:7" x14ac:dyDescent="0.25">
      <c r="A138" s="28">
        <v>45736</v>
      </c>
      <c r="B138" s="29">
        <v>3040</v>
      </c>
      <c r="C138" s="21"/>
      <c r="D138" s="28">
        <v>45744</v>
      </c>
      <c r="E138" s="29">
        <v>4152.59</v>
      </c>
      <c r="F138" s="18">
        <f t="shared" si="4"/>
        <v>405866.96082799335</v>
      </c>
      <c r="G138" s="2">
        <f t="shared" si="5"/>
        <v>6.460689087471749E-3</v>
      </c>
    </row>
    <row r="139" spans="1:7" x14ac:dyDescent="0.25">
      <c r="A139" s="28">
        <v>45737</v>
      </c>
      <c r="B139" s="29">
        <v>3018.199951171875</v>
      </c>
      <c r="C139" s="21"/>
      <c r="D139" s="28">
        <v>45745</v>
      </c>
      <c r="E139" s="29">
        <v>4192.57</v>
      </c>
      <c r="F139" s="18">
        <f t="shared" si="4"/>
        <v>406836.01549279748</v>
      </c>
      <c r="G139" s="2">
        <f t="shared" si="5"/>
        <v>2.3847707029519809E-3</v>
      </c>
    </row>
    <row r="140" spans="1:7" x14ac:dyDescent="0.25">
      <c r="A140" s="28">
        <v>45740</v>
      </c>
      <c r="B140" s="29">
        <v>3013.10009765625</v>
      </c>
      <c r="C140" s="21"/>
      <c r="D140" s="28">
        <v>45748</v>
      </c>
      <c r="E140" s="29">
        <v>4191.79</v>
      </c>
      <c r="F140" s="18">
        <f t="shared" si="4"/>
        <v>406073.0232690415</v>
      </c>
      <c r="G140" s="2">
        <f t="shared" si="5"/>
        <v>-1.8771902179203191E-3</v>
      </c>
    </row>
    <row r="141" spans="1:7" x14ac:dyDescent="0.25">
      <c r="A141" s="28">
        <v>45741</v>
      </c>
      <c r="B141" s="29">
        <v>3023.699951171875</v>
      </c>
      <c r="C141" s="21"/>
      <c r="D141" s="28">
        <v>45749</v>
      </c>
      <c r="E141" s="29">
        <v>4149.24</v>
      </c>
      <c r="F141" s="18">
        <f t="shared" si="4"/>
        <v>403365.09214302339</v>
      </c>
      <c r="G141" s="2">
        <f t="shared" si="5"/>
        <v>-6.6909160241385929E-3</v>
      </c>
    </row>
    <row r="142" spans="1:7" x14ac:dyDescent="0.25">
      <c r="A142" s="28">
        <v>45742</v>
      </c>
      <c r="B142" s="29">
        <v>3020.89990234375</v>
      </c>
      <c r="C142" s="21"/>
      <c r="D142" s="28">
        <v>45750</v>
      </c>
      <c r="E142" s="29">
        <v>4146.07</v>
      </c>
      <c r="F142" s="18">
        <f t="shared" si="4"/>
        <v>402683.67869762878</v>
      </c>
      <c r="G142" s="2">
        <f t="shared" si="5"/>
        <v>-1.6907503177755235E-3</v>
      </c>
    </row>
    <row r="143" spans="1:7" x14ac:dyDescent="0.25">
      <c r="A143" s="28">
        <v>45743</v>
      </c>
      <c r="B143" s="29">
        <v>3060.199951171875</v>
      </c>
      <c r="C143" s="21"/>
      <c r="D143" s="28">
        <v>45751</v>
      </c>
      <c r="E143" s="29">
        <v>4130.01</v>
      </c>
      <c r="F143" s="18">
        <f t="shared" si="4"/>
        <v>406342.2388952786</v>
      </c>
      <c r="G143" s="2">
        <f t="shared" si="5"/>
        <v>9.044420104993749E-3</v>
      </c>
    </row>
    <row r="144" spans="1:7" x14ac:dyDescent="0.25">
      <c r="A144" s="28">
        <v>45744</v>
      </c>
      <c r="B144" s="29">
        <v>3086.5</v>
      </c>
      <c r="C144" s="21"/>
      <c r="D144" s="28">
        <v>45752</v>
      </c>
      <c r="E144" s="29">
        <v>4274.03</v>
      </c>
      <c r="F144" s="18">
        <f t="shared" si="4"/>
        <v>424126.01265849482</v>
      </c>
      <c r="G144" s="2">
        <f t="shared" si="5"/>
        <v>4.2834853282678123E-2</v>
      </c>
    </row>
    <row r="145" spans="1:7" x14ac:dyDescent="0.25">
      <c r="A145" s="28">
        <v>45747</v>
      </c>
      <c r="B145" s="29">
        <v>3122.800048828125</v>
      </c>
      <c r="C145" s="21"/>
      <c r="D145" s="28">
        <v>45755</v>
      </c>
      <c r="E145" s="29">
        <v>4374.53</v>
      </c>
      <c r="F145" s="18">
        <f t="shared" si="4"/>
        <v>439204.35600948951</v>
      </c>
      <c r="G145" s="2">
        <f t="shared" si="5"/>
        <v>3.4934197457383756E-2</v>
      </c>
    </row>
    <row r="146" spans="1:7" x14ac:dyDescent="0.25">
      <c r="A146" s="28">
        <v>45748</v>
      </c>
      <c r="B146" s="29">
        <v>3118.89990234375</v>
      </c>
      <c r="C146" s="21"/>
      <c r="D146" s="28">
        <v>45756</v>
      </c>
      <c r="E146" s="29">
        <v>4387.9799999999996</v>
      </c>
      <c r="F146" s="18">
        <f t="shared" si="4"/>
        <v>440004.52044275409</v>
      </c>
      <c r="G146" s="2">
        <f t="shared" si="5"/>
        <v>1.82019239253385E-3</v>
      </c>
    </row>
    <row r="147" spans="1:7" x14ac:dyDescent="0.25">
      <c r="A147" s="28">
        <v>45749</v>
      </c>
      <c r="B147" s="29">
        <v>3139.89990234375</v>
      </c>
      <c r="C147" s="21"/>
      <c r="D147" s="28">
        <v>45757</v>
      </c>
      <c r="E147" s="29">
        <v>4416.6899999999996</v>
      </c>
      <c r="F147" s="18">
        <f t="shared" si="4"/>
        <v>445865.41205202555</v>
      </c>
      <c r="G147" s="2">
        <f t="shared" si="5"/>
        <v>1.323213918677291E-2</v>
      </c>
    </row>
    <row r="148" spans="1:7" x14ac:dyDescent="0.25">
      <c r="A148" s="28">
        <v>45750</v>
      </c>
      <c r="B148" s="29">
        <v>3097</v>
      </c>
      <c r="C148" s="21"/>
      <c r="D148" s="28">
        <v>45758</v>
      </c>
      <c r="E148" s="29">
        <v>4351.55</v>
      </c>
      <c r="F148" s="18">
        <f t="shared" si="4"/>
        <v>433287.58507151849</v>
      </c>
      <c r="G148" s="2">
        <f t="shared" si="5"/>
        <v>-2.8615463483411423E-2</v>
      </c>
    </row>
    <row r="149" spans="1:7" x14ac:dyDescent="0.25">
      <c r="A149" s="28">
        <v>45751</v>
      </c>
      <c r="B149" s="29">
        <v>3012</v>
      </c>
      <c r="C149" s="21"/>
      <c r="D149" s="28">
        <v>45759</v>
      </c>
      <c r="E149" s="29">
        <v>4338.3599999999997</v>
      </c>
      <c r="F149" s="18">
        <f t="shared" si="4"/>
        <v>420118.31680502027</v>
      </c>
      <c r="G149" s="2">
        <f t="shared" si="5"/>
        <v>-3.0865298012268182E-2</v>
      </c>
    </row>
    <row r="150" spans="1:7" x14ac:dyDescent="0.25">
      <c r="A150" s="28">
        <v>45754</v>
      </c>
      <c r="B150" s="29">
        <v>2951.300048828125</v>
      </c>
      <c r="C150" s="21"/>
      <c r="D150" s="28">
        <v>45762</v>
      </c>
      <c r="E150" s="29">
        <v>4286.17</v>
      </c>
      <c r="F150" s="18">
        <f t="shared" si="4"/>
        <v>406699.66935290158</v>
      </c>
      <c r="G150" s="2">
        <f t="shared" si="5"/>
        <v>-3.2461378371305458E-2</v>
      </c>
    </row>
    <row r="151" spans="1:7" x14ac:dyDescent="0.25">
      <c r="A151" s="28">
        <v>45755</v>
      </c>
      <c r="B151" s="29">
        <v>2968.39990234375</v>
      </c>
      <c r="C151" s="21"/>
      <c r="D151" s="28">
        <v>45763</v>
      </c>
      <c r="E151" s="29">
        <v>4329.8999999999996</v>
      </c>
      <c r="F151" s="18">
        <f t="shared" si="4"/>
        <v>413229.51835269434</v>
      </c>
      <c r="G151" s="2">
        <f t="shared" si="5"/>
        <v>1.5928173195100773E-2</v>
      </c>
    </row>
    <row r="152" spans="1:7" x14ac:dyDescent="0.25">
      <c r="A152" s="28">
        <v>45756</v>
      </c>
      <c r="B152" s="29">
        <v>3056.5</v>
      </c>
      <c r="C152" s="21"/>
      <c r="D152" s="28">
        <v>45764</v>
      </c>
      <c r="E152" s="29">
        <v>4306.54</v>
      </c>
      <c r="F152" s="18">
        <f t="shared" si="4"/>
        <v>423198.33228419017</v>
      </c>
      <c r="G152" s="2">
        <f t="shared" si="5"/>
        <v>2.3837766701033075E-2</v>
      </c>
    </row>
    <row r="153" spans="1:7" x14ac:dyDescent="0.25">
      <c r="A153" s="28">
        <v>45757</v>
      </c>
      <c r="B153" s="29">
        <v>3155.199951171875</v>
      </c>
      <c r="C153" s="21"/>
      <c r="D153" s="28">
        <v>45769</v>
      </c>
      <c r="E153" s="29">
        <v>4272.83</v>
      </c>
      <c r="F153" s="18">
        <f t="shared" si="4"/>
        <v>433444.56615106523</v>
      </c>
      <c r="G153" s="2">
        <f t="shared" si="5"/>
        <v>2.3922973150846898E-2</v>
      </c>
    </row>
    <row r="154" spans="1:7" x14ac:dyDescent="0.25">
      <c r="A154" s="28">
        <v>45758</v>
      </c>
      <c r="B154" s="29">
        <v>3222.199951171875</v>
      </c>
      <c r="C154" s="21"/>
      <c r="D154" s="28">
        <v>45770</v>
      </c>
      <c r="E154" s="29">
        <v>4283.22</v>
      </c>
      <c r="F154" s="18">
        <f t="shared" si="4"/>
        <v>443725.03317244584</v>
      </c>
      <c r="G154" s="2">
        <f t="shared" si="5"/>
        <v>2.3441162973593783E-2</v>
      </c>
    </row>
    <row r="155" spans="1:7" x14ac:dyDescent="0.25">
      <c r="A155" s="28">
        <v>45761</v>
      </c>
      <c r="B155" s="29">
        <v>3204.800048828125</v>
      </c>
      <c r="C155" s="21"/>
      <c r="D155" s="28">
        <v>45771</v>
      </c>
      <c r="E155" s="29">
        <v>4298.3100000000004</v>
      </c>
      <c r="F155" s="18">
        <f t="shared" si="4"/>
        <v>442883.73889694607</v>
      </c>
      <c r="G155" s="2">
        <f t="shared" si="5"/>
        <v>-1.8977807450169888E-3</v>
      </c>
    </row>
    <row r="156" spans="1:7" x14ac:dyDescent="0.25">
      <c r="A156" s="28">
        <v>45762</v>
      </c>
      <c r="B156" s="29">
        <v>3218.699951171875</v>
      </c>
      <c r="C156" s="21"/>
      <c r="D156" s="28">
        <v>45772</v>
      </c>
      <c r="E156" s="29">
        <v>4274.57</v>
      </c>
      <c r="F156" s="18">
        <f t="shared" si="4"/>
        <v>442347.91945448233</v>
      </c>
      <c r="G156" s="2">
        <f t="shared" si="5"/>
        <v>-1.210574662226069E-3</v>
      </c>
    </row>
    <row r="157" spans="1:7" x14ac:dyDescent="0.25">
      <c r="A157" s="28">
        <v>45763</v>
      </c>
      <c r="B157" s="29">
        <v>3326.60009765625</v>
      </c>
      <c r="C157" s="21"/>
      <c r="D157" s="28">
        <v>45773</v>
      </c>
      <c r="E157" s="29">
        <v>4239.62</v>
      </c>
      <c r="F157" s="18">
        <f t="shared" si="4"/>
        <v>453438.70708452084</v>
      </c>
      <c r="G157" s="2">
        <f t="shared" si="5"/>
        <v>2.4763384623533058E-2</v>
      </c>
    </row>
    <row r="158" spans="1:7" x14ac:dyDescent="0.25">
      <c r="A158" s="28">
        <v>45764</v>
      </c>
      <c r="B158" s="29">
        <v>3308.699951171875</v>
      </c>
      <c r="C158" s="21"/>
      <c r="D158" s="28">
        <v>45776</v>
      </c>
      <c r="E158" s="29">
        <v>4227.32</v>
      </c>
      <c r="F158" s="18">
        <f t="shared" si="4"/>
        <v>449690.35351018672</v>
      </c>
      <c r="G158" s="2">
        <f t="shared" si="5"/>
        <v>-8.3008625477890979E-3</v>
      </c>
    </row>
    <row r="159" spans="1:7" x14ac:dyDescent="0.25">
      <c r="A159" s="28">
        <v>45768</v>
      </c>
      <c r="B159" s="29">
        <v>3406.199951171875</v>
      </c>
      <c r="C159" s="21"/>
      <c r="D159" s="28">
        <v>45777</v>
      </c>
      <c r="E159" s="29">
        <v>4198.83</v>
      </c>
      <c r="F159" s="18">
        <f t="shared" si="4"/>
        <v>459821.73095771094</v>
      </c>
      <c r="G159" s="2">
        <f t="shared" si="5"/>
        <v>2.2279630371358453E-2</v>
      </c>
    </row>
    <row r="160" spans="1:7" x14ac:dyDescent="0.25">
      <c r="A160" s="28">
        <v>45769</v>
      </c>
      <c r="B160" s="29">
        <v>3400.800048828125</v>
      </c>
      <c r="C160" s="21"/>
      <c r="D160" s="28">
        <v>45778</v>
      </c>
      <c r="E160" s="29">
        <v>4222.25</v>
      </c>
      <c r="F160" s="18">
        <f t="shared" si="4"/>
        <v>461653.47039802803</v>
      </c>
      <c r="G160" s="2">
        <f t="shared" si="5"/>
        <v>3.9756725961228043E-3</v>
      </c>
    </row>
    <row r="161" spans="1:7" x14ac:dyDescent="0.25">
      <c r="A161" s="28">
        <v>45770</v>
      </c>
      <c r="B161" s="29">
        <v>3276.300048828125</v>
      </c>
      <c r="C161" s="21"/>
      <c r="D161" s="28">
        <v>45780</v>
      </c>
      <c r="E161" s="29">
        <v>4243.8</v>
      </c>
      <c r="F161" s="18">
        <f t="shared" si="4"/>
        <v>447022.76329496375</v>
      </c>
      <c r="G161" s="2">
        <f t="shared" si="5"/>
        <v>-3.2205027655219196E-2</v>
      </c>
    </row>
    <row r="162" spans="1:7" x14ac:dyDescent="0.25">
      <c r="A162" s="28">
        <v>45771</v>
      </c>
      <c r="B162" s="29">
        <v>3332</v>
      </c>
      <c r="C162" s="21"/>
      <c r="D162" s="28">
        <v>45783</v>
      </c>
      <c r="E162" s="29">
        <v>4283.62</v>
      </c>
      <c r="F162" s="18">
        <f t="shared" si="4"/>
        <v>458888.30794633221</v>
      </c>
      <c r="G162" s="2">
        <f t="shared" si="5"/>
        <v>2.6197324727352145E-2</v>
      </c>
    </row>
    <row r="163" spans="1:7" x14ac:dyDescent="0.25">
      <c r="A163" s="28">
        <v>45772</v>
      </c>
      <c r="B163" s="29">
        <v>3282.39990234375</v>
      </c>
      <c r="C163" s="21"/>
      <c r="D163" s="28">
        <v>45784</v>
      </c>
      <c r="E163" s="29">
        <v>4305.0200000000004</v>
      </c>
      <c r="F163" s="18">
        <f t="shared" si="4"/>
        <v>454315.6804768492</v>
      </c>
      <c r="G163" s="2">
        <f t="shared" si="5"/>
        <v>-1.001455478429748E-2</v>
      </c>
    </row>
    <row r="164" spans="1:7" x14ac:dyDescent="0.25">
      <c r="A164" s="28">
        <v>45775</v>
      </c>
      <c r="B164" s="29">
        <v>3332.5</v>
      </c>
      <c r="C164" s="21"/>
      <c r="D164" s="28">
        <v>45785</v>
      </c>
      <c r="E164" s="29">
        <v>4306.79</v>
      </c>
      <c r="F164" s="18">
        <f t="shared" si="4"/>
        <v>461439.65728615911</v>
      </c>
      <c r="G164" s="2">
        <f t="shared" si="5"/>
        <v>1.5559004093910218E-2</v>
      </c>
    </row>
    <row r="165" spans="1:7" x14ac:dyDescent="0.25">
      <c r="A165" s="28">
        <v>45776</v>
      </c>
      <c r="B165" s="29">
        <v>3318.800048828125</v>
      </c>
      <c r="C165" s="21"/>
      <c r="D165" s="28">
        <v>45786</v>
      </c>
      <c r="E165" s="29">
        <v>4260.22</v>
      </c>
      <c r="F165" s="18">
        <f t="shared" si="4"/>
        <v>454573.56535840896</v>
      </c>
      <c r="G165" s="2">
        <f t="shared" si="5"/>
        <v>-1.4991531457036368E-2</v>
      </c>
    </row>
    <row r="166" spans="1:7" x14ac:dyDescent="0.25">
      <c r="A166" s="28">
        <v>45777</v>
      </c>
      <c r="B166" s="29">
        <v>3305</v>
      </c>
      <c r="C166" s="21"/>
      <c r="D166" s="28">
        <v>45787</v>
      </c>
      <c r="E166" s="29">
        <v>4239.2299999999996</v>
      </c>
      <c r="F166" s="18">
        <f t="shared" si="4"/>
        <v>450453.02298809239</v>
      </c>
      <c r="G166" s="2">
        <f t="shared" si="5"/>
        <v>-9.1059663789121743E-3</v>
      </c>
    </row>
    <row r="167" spans="1:7" x14ac:dyDescent="0.25">
      <c r="A167" s="28">
        <v>45778</v>
      </c>
      <c r="B167" s="29">
        <v>3210</v>
      </c>
      <c r="C167" s="21"/>
      <c r="D167" s="28">
        <v>45790</v>
      </c>
      <c r="E167" s="29">
        <v>4218.6000000000004</v>
      </c>
      <c r="F167" s="18">
        <f t="shared" si="4"/>
        <v>435375.95771286899</v>
      </c>
      <c r="G167" s="2">
        <f t="shared" si="5"/>
        <v>-3.4043865689010792E-2</v>
      </c>
    </row>
    <row r="168" spans="1:7" x14ac:dyDescent="0.25">
      <c r="A168" s="28">
        <v>45779</v>
      </c>
      <c r="B168" s="29">
        <v>3231.89990234375</v>
      </c>
      <c r="C168" s="21"/>
      <c r="D168" s="28">
        <v>45791</v>
      </c>
      <c r="E168" s="29">
        <v>4204.63</v>
      </c>
      <c r="F168" s="18">
        <f t="shared" si="4"/>
        <v>436894.67173623509</v>
      </c>
      <c r="G168" s="2">
        <f t="shared" si="5"/>
        <v>3.4822118428087297E-3</v>
      </c>
    </row>
    <row r="169" spans="1:7" x14ac:dyDescent="0.25">
      <c r="A169" s="28">
        <v>45782</v>
      </c>
      <c r="B169" s="29">
        <v>3311.300048828125</v>
      </c>
      <c r="C169" s="21"/>
      <c r="D169" s="28">
        <v>45792</v>
      </c>
      <c r="E169" s="29">
        <v>4194.18</v>
      </c>
      <c r="F169" s="18">
        <f t="shared" si="4"/>
        <v>446515.62679301325</v>
      </c>
      <c r="G169" s="2">
        <f t="shared" si="5"/>
        <v>2.1782257851722334E-2</v>
      </c>
    </row>
    <row r="170" spans="1:7" x14ac:dyDescent="0.25">
      <c r="A170" s="28">
        <v>45783</v>
      </c>
      <c r="B170" s="29">
        <v>3411.39990234375</v>
      </c>
      <c r="C170" s="21"/>
      <c r="D170" s="28">
        <v>45793</v>
      </c>
      <c r="E170" s="29">
        <v>4196.66</v>
      </c>
      <c r="F170" s="18">
        <f t="shared" si="4"/>
        <v>460285.69751951081</v>
      </c>
      <c r="G170" s="2">
        <f t="shared" si="5"/>
        <v>3.0372980135235494E-2</v>
      </c>
    </row>
    <row r="171" spans="1:7" x14ac:dyDescent="0.25">
      <c r="A171" s="28">
        <v>45784</v>
      </c>
      <c r="B171" s="29">
        <v>3381.39990234375</v>
      </c>
      <c r="C171" s="21"/>
      <c r="D171" s="28">
        <v>45794</v>
      </c>
      <c r="E171" s="29">
        <v>4194.28</v>
      </c>
      <c r="F171" s="18">
        <f t="shared" si="4"/>
        <v>455979.18437215814</v>
      </c>
      <c r="G171" s="2">
        <f t="shared" si="5"/>
        <v>-9.4002180901622285E-3</v>
      </c>
    </row>
    <row r="172" spans="1:7" x14ac:dyDescent="0.25">
      <c r="A172" s="28">
        <v>45785</v>
      </c>
      <c r="B172" s="29">
        <v>3296.60009765625</v>
      </c>
      <c r="C172" s="21"/>
      <c r="D172" s="28">
        <v>45797</v>
      </c>
      <c r="E172" s="29">
        <v>4168.03</v>
      </c>
      <c r="F172" s="18">
        <f t="shared" si="4"/>
        <v>441761.80667475023</v>
      </c>
      <c r="G172" s="2">
        <f t="shared" si="5"/>
        <v>-3.1676322272220815E-2</v>
      </c>
    </row>
    <row r="173" spans="1:7" x14ac:dyDescent="0.25">
      <c r="A173" s="28">
        <v>45786</v>
      </c>
      <c r="B173" s="29">
        <v>3335.39990234375</v>
      </c>
      <c r="C173" s="21"/>
      <c r="D173" s="28">
        <v>45798</v>
      </c>
      <c r="E173" s="29">
        <v>4172.76</v>
      </c>
      <c r="F173" s="18">
        <f t="shared" si="4"/>
        <v>447468.40959284356</v>
      </c>
      <c r="G173" s="2">
        <f t="shared" si="5"/>
        <v>1.2835104240904095E-2</v>
      </c>
    </row>
    <row r="174" spans="1:7" x14ac:dyDescent="0.25">
      <c r="A174" s="28">
        <v>45789</v>
      </c>
      <c r="B174" s="29">
        <v>3220</v>
      </c>
      <c r="C174" s="21"/>
      <c r="D174" s="28">
        <v>45799</v>
      </c>
      <c r="E174" s="29">
        <v>4169.47</v>
      </c>
      <c r="F174" s="18">
        <f t="shared" si="4"/>
        <v>431646.06601150136</v>
      </c>
      <c r="G174" s="2">
        <f t="shared" si="5"/>
        <v>-3.5999981333237646E-2</v>
      </c>
    </row>
    <row r="175" spans="1:7" x14ac:dyDescent="0.25">
      <c r="A175" s="28">
        <v>45790</v>
      </c>
      <c r="B175" s="29">
        <v>3240.300048828125</v>
      </c>
      <c r="C175" s="21"/>
      <c r="D175" s="28">
        <v>45800</v>
      </c>
      <c r="E175" s="29">
        <v>4176.54</v>
      </c>
      <c r="F175" s="18">
        <f t="shared" si="4"/>
        <v>435103.85841921758</v>
      </c>
      <c r="G175" s="2">
        <f t="shared" si="5"/>
        <v>7.9787967767099462E-3</v>
      </c>
    </row>
    <row r="176" spans="1:7" x14ac:dyDescent="0.25">
      <c r="A176" s="28">
        <v>45791</v>
      </c>
      <c r="B176" s="29">
        <v>3181.39990234375</v>
      </c>
      <c r="C176" s="21"/>
      <c r="D176" s="28">
        <v>45801</v>
      </c>
      <c r="E176" s="29">
        <v>4165.41</v>
      </c>
      <c r="F176" s="18">
        <f t="shared" si="4"/>
        <v>426056.38760042668</v>
      </c>
      <c r="G176" s="2">
        <f t="shared" si="5"/>
        <v>-2.1013054808875116E-2</v>
      </c>
    </row>
    <row r="177" spans="1:7" x14ac:dyDescent="0.25">
      <c r="A177" s="28">
        <v>45792</v>
      </c>
      <c r="B177" s="29">
        <v>3220.699951171875</v>
      </c>
      <c r="C177" s="21"/>
      <c r="D177" s="28">
        <v>45805</v>
      </c>
      <c r="E177" s="29">
        <v>4128.1499999999996</v>
      </c>
      <c r="F177" s="18">
        <f t="shared" si="4"/>
        <v>427461.29601273948</v>
      </c>
      <c r="G177" s="2">
        <f t="shared" si="5"/>
        <v>3.2920458664214679E-3</v>
      </c>
    </row>
    <row r="178" spans="1:7" x14ac:dyDescent="0.25">
      <c r="A178" s="28">
        <v>45793</v>
      </c>
      <c r="B178" s="29">
        <v>3182</v>
      </c>
      <c r="C178" s="21"/>
      <c r="D178" s="28">
        <v>45806</v>
      </c>
      <c r="E178" s="29">
        <v>4126.4399999999996</v>
      </c>
      <c r="F178" s="18">
        <f t="shared" si="4"/>
        <v>422149.97906600585</v>
      </c>
      <c r="G178" s="2">
        <f t="shared" si="5"/>
        <v>-1.2503097108988614E-2</v>
      </c>
    </row>
    <row r="179" spans="1:7" x14ac:dyDescent="0.25">
      <c r="A179" s="28">
        <v>45796</v>
      </c>
      <c r="B179" s="29">
        <v>3228.89990234375</v>
      </c>
      <c r="C179" s="21"/>
      <c r="D179" s="28">
        <v>45807</v>
      </c>
      <c r="E179" s="29">
        <v>4106.79</v>
      </c>
      <c r="F179" s="18">
        <f t="shared" si="4"/>
        <v>426332.20444173267</v>
      </c>
      <c r="G179" s="2">
        <f t="shared" si="5"/>
        <v>9.8582134723470046E-3</v>
      </c>
    </row>
    <row r="180" spans="1:7" x14ac:dyDescent="0.25">
      <c r="A180" s="28">
        <v>45797</v>
      </c>
      <c r="B180" s="29">
        <v>3280.300048828125</v>
      </c>
      <c r="C180" s="21"/>
      <c r="D180" s="28">
        <v>45808</v>
      </c>
      <c r="E180" s="29">
        <v>4148.72</v>
      </c>
      <c r="F180" s="18">
        <f t="shared" si="4"/>
        <v>437541.00244427403</v>
      </c>
      <c r="G180" s="2">
        <f t="shared" si="5"/>
        <v>2.5951556280002661E-2</v>
      </c>
    </row>
    <row r="181" spans="1:7" x14ac:dyDescent="0.25">
      <c r="A181" s="28">
        <v>45798</v>
      </c>
      <c r="B181" s="29">
        <v>3309.300048828125</v>
      </c>
      <c r="C181" s="21"/>
      <c r="D181" s="28">
        <v>45812</v>
      </c>
      <c r="E181" s="29">
        <v>4136.71</v>
      </c>
      <c r="F181" s="18">
        <f t="shared" si="4"/>
        <v>440131.32978715078</v>
      </c>
      <c r="G181" s="2">
        <f t="shared" si="5"/>
        <v>5.902737887088263E-3</v>
      </c>
    </row>
    <row r="182" spans="1:7" x14ac:dyDescent="0.25">
      <c r="A182" s="28">
        <v>45799</v>
      </c>
      <c r="B182" s="29">
        <v>3292.300048828125</v>
      </c>
      <c r="C182" s="21"/>
      <c r="D182" s="28">
        <v>45813</v>
      </c>
      <c r="E182" s="29">
        <v>4107.8500000000004</v>
      </c>
      <c r="F182" s="18">
        <f t="shared" si="4"/>
        <v>434815.53019110119</v>
      </c>
      <c r="G182" s="2">
        <f t="shared" si="5"/>
        <v>-1.2151286545957062E-2</v>
      </c>
    </row>
    <row r="183" spans="1:7" x14ac:dyDescent="0.25">
      <c r="A183" s="28">
        <v>45800</v>
      </c>
      <c r="B183" s="29">
        <v>3363.60009765625</v>
      </c>
      <c r="C183" s="21"/>
      <c r="D183" s="28">
        <v>45814</v>
      </c>
      <c r="E183" s="29">
        <v>4097.66</v>
      </c>
      <c r="F183" s="18">
        <f t="shared" si="4"/>
        <v>443130.18974657229</v>
      </c>
      <c r="G183" s="2">
        <f t="shared" si="5"/>
        <v>1.8941736296710605E-2</v>
      </c>
    </row>
    <row r="184" spans="1:7" x14ac:dyDescent="0.25">
      <c r="A184" s="28">
        <v>45804</v>
      </c>
      <c r="B184" s="29">
        <v>3299.10009765625</v>
      </c>
      <c r="C184" s="21"/>
      <c r="D184" s="28">
        <v>45815</v>
      </c>
      <c r="E184" s="29">
        <v>4138.72</v>
      </c>
      <c r="F184" s="18">
        <f t="shared" si="4"/>
        <v>438987.95121746248</v>
      </c>
      <c r="G184" s="2">
        <f t="shared" si="5"/>
        <v>-9.391642192070131E-3</v>
      </c>
    </row>
    <row r="185" spans="1:7" x14ac:dyDescent="0.25">
      <c r="A185" s="28">
        <v>45805</v>
      </c>
      <c r="B185" s="29">
        <v>3293.60009765625</v>
      </c>
      <c r="C185" s="21"/>
      <c r="D185" s="28">
        <v>45818</v>
      </c>
      <c r="E185" s="29">
        <v>4138.53</v>
      </c>
      <c r="F185" s="18">
        <f t="shared" si="4"/>
        <v>438235.98563596333</v>
      </c>
      <c r="G185" s="2">
        <f t="shared" si="5"/>
        <v>-1.7144214472314036E-3</v>
      </c>
    </row>
    <row r="186" spans="1:7" x14ac:dyDescent="0.25">
      <c r="A186" s="28">
        <v>45806</v>
      </c>
      <c r="B186" s="29">
        <v>3317.10009765625</v>
      </c>
      <c r="C186" s="21"/>
      <c r="D186" s="28">
        <v>45819</v>
      </c>
      <c r="E186" s="29">
        <v>4190.8999999999996</v>
      </c>
      <c r="F186" s="18">
        <f t="shared" si="4"/>
        <v>446947.9373208714</v>
      </c>
      <c r="G186" s="2">
        <f t="shared" si="5"/>
        <v>1.9684571234894435E-2</v>
      </c>
    </row>
    <row r="187" spans="1:7" x14ac:dyDescent="0.25">
      <c r="A187" s="28">
        <v>45807</v>
      </c>
      <c r="B187" s="29">
        <v>3288.89990234375</v>
      </c>
      <c r="C187" s="21"/>
      <c r="D187" s="28">
        <v>45820</v>
      </c>
      <c r="E187" s="29">
        <v>4190.6099999999997</v>
      </c>
      <c r="F187" s="18">
        <f t="shared" si="4"/>
        <v>443117.56233504874</v>
      </c>
      <c r="G187" s="2">
        <f t="shared" si="5"/>
        <v>-8.6070039421161058E-3</v>
      </c>
    </row>
    <row r="188" spans="1:7" x14ac:dyDescent="0.25">
      <c r="A188" s="28">
        <v>45810</v>
      </c>
      <c r="B188" s="29">
        <v>3370.60009765625</v>
      </c>
      <c r="C188" s="21"/>
      <c r="D188" s="28">
        <v>45821</v>
      </c>
      <c r="E188" s="29">
        <v>4169.13</v>
      </c>
      <c r="F188" s="18">
        <f t="shared" si="4"/>
        <v>451797.40115553903</v>
      </c>
      <c r="G188" s="2">
        <f t="shared" si="5"/>
        <v>1.9398739246069129E-2</v>
      </c>
    </row>
    <row r="189" spans="1:7" x14ac:dyDescent="0.25">
      <c r="A189" s="28">
        <v>45811</v>
      </c>
      <c r="B189" s="29">
        <v>3350.199951171875</v>
      </c>
      <c r="C189" s="21"/>
      <c r="D189" s="28">
        <v>45822</v>
      </c>
      <c r="E189" s="29">
        <v>4147.34</v>
      </c>
      <c r="F189" s="18">
        <f t="shared" si="4"/>
        <v>446715.92037238629</v>
      </c>
      <c r="G189" s="2">
        <f t="shared" si="5"/>
        <v>-1.1310984128219055E-2</v>
      </c>
    </row>
    <row r="190" spans="1:7" x14ac:dyDescent="0.25">
      <c r="A190" s="28">
        <v>45812</v>
      </c>
      <c r="B190" s="29">
        <v>3373.5</v>
      </c>
      <c r="C190" s="21"/>
      <c r="D190" s="28">
        <v>45825</v>
      </c>
      <c r="E190" s="29">
        <v>4096.4399999999996</v>
      </c>
      <c r="F190" s="18">
        <f t="shared" si="4"/>
        <v>444302.10901695717</v>
      </c>
      <c r="G190" s="2">
        <f t="shared" si="5"/>
        <v>-5.4181109265608006E-3</v>
      </c>
    </row>
    <row r="191" spans="1:7" x14ac:dyDescent="0.25">
      <c r="A191" s="28">
        <v>45813</v>
      </c>
      <c r="B191" s="29">
        <v>3350.699951171875</v>
      </c>
      <c r="C191" s="21"/>
      <c r="D191" s="28">
        <v>45826</v>
      </c>
      <c r="E191" s="29">
        <v>4098.83</v>
      </c>
      <c r="F191" s="18">
        <f t="shared" si="4"/>
        <v>441556.72914552811</v>
      </c>
      <c r="G191" s="2">
        <f t="shared" si="5"/>
        <v>-6.1982531359737313E-3</v>
      </c>
    </row>
    <row r="192" spans="1:7" x14ac:dyDescent="0.25">
      <c r="A192" s="28">
        <v>45814</v>
      </c>
      <c r="B192" s="29">
        <v>3322.699951171875</v>
      </c>
      <c r="C192" s="21"/>
      <c r="D192" s="28">
        <v>45827</v>
      </c>
      <c r="E192" s="29">
        <v>4076.32</v>
      </c>
      <c r="F192" s="18">
        <f t="shared" si="4"/>
        <v>435462.19453385792</v>
      </c>
      <c r="G192" s="2">
        <f t="shared" si="5"/>
        <v>-1.3898520437808834E-2</v>
      </c>
    </row>
    <row r="193" spans="1:7" x14ac:dyDescent="0.25">
      <c r="A193" s="28">
        <v>45817</v>
      </c>
      <c r="B193" s="29">
        <v>3332.10009765625</v>
      </c>
      <c r="C193" s="21"/>
      <c r="D193" s="28">
        <v>45829</v>
      </c>
      <c r="E193" s="29">
        <v>4080.06</v>
      </c>
      <c r="F193" s="18">
        <f t="shared" si="4"/>
        <v>437094.81135701714</v>
      </c>
      <c r="G193" s="2">
        <f t="shared" si="5"/>
        <v>3.7421480026077728E-3</v>
      </c>
    </row>
    <row r="194" spans="1:7" x14ac:dyDescent="0.25">
      <c r="A194" s="28">
        <v>45818</v>
      </c>
      <c r="B194" s="29">
        <v>3320.89990234375</v>
      </c>
      <c r="C194" s="21"/>
      <c r="D194" s="28">
        <v>45833</v>
      </c>
      <c r="E194" s="29">
        <v>4081.15</v>
      </c>
      <c r="F194" s="18">
        <f t="shared" si="4"/>
        <v>435741.98227415513</v>
      </c>
      <c r="G194" s="2">
        <f t="shared" si="5"/>
        <v>-3.0998467892659411E-3</v>
      </c>
    </row>
    <row r="195" spans="1:7" x14ac:dyDescent="0.25">
      <c r="A195" s="28">
        <v>45819</v>
      </c>
      <c r="B195" s="29">
        <v>3321.300048828125</v>
      </c>
      <c r="C195" s="21"/>
      <c r="D195" s="28">
        <v>45834</v>
      </c>
      <c r="E195" s="29">
        <v>4067.64</v>
      </c>
      <c r="F195" s="18">
        <f t="shared" ref="F195:F258" si="6">(B195*E195)/$J$2</f>
        <v>434351.85775164637</v>
      </c>
      <c r="G195" s="2">
        <f t="shared" ref="G195:G258" si="7">LN(F195/F194)</f>
        <v>-3.1953466197609318E-3</v>
      </c>
    </row>
    <row r="196" spans="1:7" x14ac:dyDescent="0.25">
      <c r="A196" s="28">
        <v>45820</v>
      </c>
      <c r="B196" s="29">
        <v>3380.89990234375</v>
      </c>
      <c r="C196" s="21"/>
      <c r="D196" s="28">
        <v>45835</v>
      </c>
      <c r="E196" s="29">
        <v>4042.87</v>
      </c>
      <c r="F196" s="18">
        <f t="shared" si="6"/>
        <v>439453.7265425091</v>
      </c>
      <c r="G196" s="2">
        <f t="shared" si="7"/>
        <v>1.167748720824259E-2</v>
      </c>
    </row>
    <row r="197" spans="1:7" x14ac:dyDescent="0.25">
      <c r="A197" s="28">
        <v>45821</v>
      </c>
      <c r="B197" s="29">
        <v>3431.199951171875</v>
      </c>
      <c r="C197" s="21"/>
      <c r="D197" s="28">
        <v>45836</v>
      </c>
      <c r="E197" s="29">
        <v>4069.67</v>
      </c>
      <c r="F197" s="18">
        <f t="shared" si="6"/>
        <v>448948.25086839311</v>
      </c>
      <c r="G197" s="2">
        <f t="shared" si="7"/>
        <v>2.1375201919807341E-2</v>
      </c>
    </row>
    <row r="198" spans="1:7" x14ac:dyDescent="0.25">
      <c r="A198" s="28">
        <v>45824</v>
      </c>
      <c r="B198" s="29">
        <v>3396.39990234375</v>
      </c>
      <c r="C198" s="21"/>
      <c r="D198" s="28">
        <v>45840</v>
      </c>
      <c r="E198" s="29">
        <v>4047.71</v>
      </c>
      <c r="F198" s="18">
        <f t="shared" si="6"/>
        <v>441996.94899432664</v>
      </c>
      <c r="G198" s="2">
        <f t="shared" si="7"/>
        <v>-1.5604647583212092E-2</v>
      </c>
    </row>
    <row r="199" spans="1:7" x14ac:dyDescent="0.25">
      <c r="A199" s="28">
        <v>45825</v>
      </c>
      <c r="B199" s="29">
        <v>3386.60009765625</v>
      </c>
      <c r="C199" s="21"/>
      <c r="D199" s="28">
        <v>45841</v>
      </c>
      <c r="E199" s="29">
        <v>4006.46</v>
      </c>
      <c r="F199" s="18">
        <f t="shared" si="6"/>
        <v>436230.26179683744</v>
      </c>
      <c r="G199" s="2">
        <f t="shared" si="7"/>
        <v>-1.3132751997905362E-2</v>
      </c>
    </row>
    <row r="200" spans="1:7" x14ac:dyDescent="0.25">
      <c r="A200" s="28">
        <v>45826</v>
      </c>
      <c r="B200" s="29">
        <v>3389.800048828125</v>
      </c>
      <c r="C200" s="21"/>
      <c r="D200" s="28">
        <v>45842</v>
      </c>
      <c r="E200" s="29">
        <v>3974.37</v>
      </c>
      <c r="F200" s="18">
        <f t="shared" si="6"/>
        <v>433145.13379613671</v>
      </c>
      <c r="G200" s="2">
        <f t="shared" si="7"/>
        <v>-7.0973735094200284E-3</v>
      </c>
    </row>
    <row r="201" spans="1:7" x14ac:dyDescent="0.25">
      <c r="A201" s="28">
        <v>45828</v>
      </c>
      <c r="B201" s="29">
        <v>3368.10009765625</v>
      </c>
      <c r="C201" s="21"/>
      <c r="D201" s="28">
        <v>45846</v>
      </c>
      <c r="E201" s="29">
        <v>4022.29</v>
      </c>
      <c r="F201" s="18">
        <f t="shared" si="6"/>
        <v>435561.446359005</v>
      </c>
      <c r="G201" s="2">
        <f t="shared" si="7"/>
        <v>5.5630263418864545E-3</v>
      </c>
    </row>
    <row r="202" spans="1:7" x14ac:dyDescent="0.25">
      <c r="A202" s="28">
        <v>45831</v>
      </c>
      <c r="B202" s="29">
        <v>3377.699951171875</v>
      </c>
      <c r="C202" s="21"/>
      <c r="D202" s="28">
        <v>45847</v>
      </c>
      <c r="E202" s="29">
        <v>4054.13</v>
      </c>
      <c r="F202" s="18">
        <f t="shared" si="6"/>
        <v>440260.57894095086</v>
      </c>
      <c r="G202" s="2">
        <f t="shared" si="7"/>
        <v>1.0730896321497284E-2</v>
      </c>
    </row>
    <row r="203" spans="1:7" x14ac:dyDescent="0.25">
      <c r="A203" s="28">
        <v>45832</v>
      </c>
      <c r="B203" s="29">
        <v>3317.39990234375</v>
      </c>
      <c r="C203" s="21"/>
      <c r="D203" s="28">
        <v>45848</v>
      </c>
      <c r="E203" s="29">
        <v>4026.09</v>
      </c>
      <c r="F203" s="18">
        <f t="shared" si="6"/>
        <v>429410.21219940111</v>
      </c>
      <c r="G203" s="2">
        <f t="shared" si="7"/>
        <v>-2.4954108834486247E-2</v>
      </c>
    </row>
    <row r="204" spans="1:7" x14ac:dyDescent="0.25">
      <c r="A204" s="28">
        <v>45833</v>
      </c>
      <c r="B204" s="29">
        <v>3327.10009765625</v>
      </c>
      <c r="C204" s="21"/>
      <c r="D204" s="28">
        <v>45849</v>
      </c>
      <c r="E204" s="29">
        <v>4013.5</v>
      </c>
      <c r="F204" s="18">
        <f t="shared" si="6"/>
        <v>429319.08634546475</v>
      </c>
      <c r="G204" s="2">
        <f t="shared" si="7"/>
        <v>-2.1223418004448553E-4</v>
      </c>
    </row>
    <row r="205" spans="1:7" x14ac:dyDescent="0.25">
      <c r="A205" s="28">
        <v>45834</v>
      </c>
      <c r="B205" s="29">
        <v>3333.5</v>
      </c>
      <c r="C205" s="21"/>
      <c r="D205" s="28">
        <v>45850</v>
      </c>
      <c r="E205" s="29">
        <v>4003.9</v>
      </c>
      <c r="F205" s="18">
        <f t="shared" si="6"/>
        <v>429116.03534946294</v>
      </c>
      <c r="G205" s="2">
        <f t="shared" si="7"/>
        <v>-4.7307244230113869E-4</v>
      </c>
    </row>
    <row r="206" spans="1:7" x14ac:dyDescent="0.25">
      <c r="A206" s="28">
        <v>45835</v>
      </c>
      <c r="B206" s="29">
        <v>3273.699951171875</v>
      </c>
      <c r="C206" s="21"/>
      <c r="D206" s="28">
        <v>45853</v>
      </c>
      <c r="E206" s="29">
        <v>4011.79</v>
      </c>
      <c r="F206" s="18">
        <f t="shared" si="6"/>
        <v>422248.50975862017</v>
      </c>
      <c r="G206" s="2">
        <f t="shared" si="7"/>
        <v>-1.6133334630518897E-2</v>
      </c>
    </row>
    <row r="207" spans="1:7" x14ac:dyDescent="0.25">
      <c r="A207" s="28">
        <v>45838</v>
      </c>
      <c r="B207" s="29">
        <v>3294.39990234375</v>
      </c>
      <c r="C207" s="21"/>
      <c r="D207" s="28">
        <v>45854</v>
      </c>
      <c r="E207" s="29">
        <v>4015.04</v>
      </c>
      <c r="F207" s="18">
        <f t="shared" si="6"/>
        <v>425262.66336586041</v>
      </c>
      <c r="G207" s="2">
        <f t="shared" si="7"/>
        <v>7.1129830759021299E-3</v>
      </c>
    </row>
    <row r="208" spans="1:7" x14ac:dyDescent="0.25">
      <c r="A208" s="28">
        <v>45839</v>
      </c>
      <c r="B208" s="29">
        <v>3336.699951171875</v>
      </c>
      <c r="C208" s="21"/>
      <c r="D208" s="28">
        <v>45855</v>
      </c>
      <c r="E208" s="29">
        <v>4031.86</v>
      </c>
      <c r="F208" s="18">
        <f t="shared" si="6"/>
        <v>432527.43581167224</v>
      </c>
      <c r="G208" s="2">
        <f t="shared" si="7"/>
        <v>1.6938750291988248E-2</v>
      </c>
    </row>
    <row r="209" spans="1:7" x14ac:dyDescent="0.25">
      <c r="A209" s="28">
        <v>45840</v>
      </c>
      <c r="B209" s="29">
        <v>3348</v>
      </c>
      <c r="C209" s="21"/>
      <c r="D209" s="28">
        <v>45856</v>
      </c>
      <c r="E209" s="29">
        <v>4016.44</v>
      </c>
      <c r="F209" s="18">
        <f t="shared" si="6"/>
        <v>432332.41114703938</v>
      </c>
      <c r="G209" s="2">
        <f t="shared" si="7"/>
        <v>-4.5099716127256065E-4</v>
      </c>
    </row>
    <row r="210" spans="1:7" x14ac:dyDescent="0.25">
      <c r="A210" s="28">
        <v>45841</v>
      </c>
      <c r="B210" s="29">
        <v>3331.60009765625</v>
      </c>
      <c r="C210" s="21"/>
      <c r="D210" s="28">
        <v>45857</v>
      </c>
      <c r="E210" s="29">
        <v>4000.61</v>
      </c>
      <c r="F210" s="18">
        <f t="shared" si="6"/>
        <v>428519.06082359806</v>
      </c>
      <c r="G210" s="2">
        <f t="shared" si="7"/>
        <v>-8.8595428840815785E-3</v>
      </c>
    </row>
    <row r="211" spans="1:7" x14ac:dyDescent="0.25">
      <c r="A211" s="28">
        <v>45842</v>
      </c>
      <c r="B211" s="29">
        <v>3332.5</v>
      </c>
      <c r="C211" s="21"/>
      <c r="D211" s="28">
        <v>45860</v>
      </c>
      <c r="E211" s="29">
        <v>4026.27</v>
      </c>
      <c r="F211" s="18">
        <f t="shared" si="6"/>
        <v>431384.08163424354</v>
      </c>
      <c r="G211" s="2">
        <f t="shared" si="7"/>
        <v>6.6636142389757558E-3</v>
      </c>
    </row>
    <row r="212" spans="1:7" x14ac:dyDescent="0.25">
      <c r="A212" s="28">
        <v>45845</v>
      </c>
      <c r="B212" s="29">
        <v>3332.199951171875</v>
      </c>
      <c r="C212" s="21"/>
      <c r="D212" s="28">
        <v>45861</v>
      </c>
      <c r="E212" s="29">
        <v>4061.36</v>
      </c>
      <c r="F212" s="18">
        <f t="shared" si="6"/>
        <v>435104.52804721199</v>
      </c>
      <c r="G212" s="2">
        <f t="shared" si="7"/>
        <v>8.5874626276989593E-3</v>
      </c>
    </row>
    <row r="213" spans="1:7" x14ac:dyDescent="0.25">
      <c r="A213" s="28">
        <v>45846</v>
      </c>
      <c r="B213" s="29">
        <v>3307</v>
      </c>
      <c r="C213" s="21"/>
      <c r="D213" s="28">
        <v>45862</v>
      </c>
      <c r="E213" s="29">
        <v>4052.86</v>
      </c>
      <c r="F213" s="18">
        <f t="shared" si="6"/>
        <v>430910.28395899455</v>
      </c>
      <c r="G213" s="2">
        <f t="shared" si="7"/>
        <v>-9.6863860158952503E-3</v>
      </c>
    </row>
    <row r="214" spans="1:7" x14ac:dyDescent="0.25">
      <c r="A214" s="28">
        <v>45847</v>
      </c>
      <c r="B214" s="29">
        <v>3311.60009765625</v>
      </c>
      <c r="C214" s="21"/>
      <c r="D214" s="28">
        <v>45863</v>
      </c>
      <c r="E214" s="29">
        <v>4063.31</v>
      </c>
      <c r="F214" s="18">
        <f t="shared" si="6"/>
        <v>432622.30390936928</v>
      </c>
      <c r="G214" s="2">
        <f t="shared" si="7"/>
        <v>3.9651594335346216E-3</v>
      </c>
    </row>
    <row r="215" spans="1:7" x14ac:dyDescent="0.25">
      <c r="A215" s="28">
        <v>45848</v>
      </c>
      <c r="B215" s="29">
        <v>3317.39990234375</v>
      </c>
      <c r="C215" s="21"/>
      <c r="D215" s="28">
        <v>45864</v>
      </c>
      <c r="E215" s="29">
        <v>4110.4799999999996</v>
      </c>
      <c r="F215" s="18">
        <f t="shared" si="6"/>
        <v>438410.98660024838</v>
      </c>
      <c r="G215" s="2">
        <f t="shared" si="7"/>
        <v>1.3291725993876837E-2</v>
      </c>
    </row>
    <row r="216" spans="1:7" x14ac:dyDescent="0.25">
      <c r="A216" s="28">
        <v>45849</v>
      </c>
      <c r="B216" s="29">
        <v>3356</v>
      </c>
      <c r="C216" s="21"/>
      <c r="D216" s="28">
        <v>45867</v>
      </c>
      <c r="E216" s="29">
        <v>4170.59</v>
      </c>
      <c r="F216" s="18">
        <f t="shared" si="6"/>
        <v>449997.92563383142</v>
      </c>
      <c r="G216" s="2">
        <f t="shared" si="7"/>
        <v>2.6086177055602591E-2</v>
      </c>
    </row>
    <row r="217" spans="1:7" x14ac:dyDescent="0.25">
      <c r="A217" s="28">
        <v>45852</v>
      </c>
      <c r="B217" s="29">
        <v>3351.5</v>
      </c>
      <c r="C217" s="21"/>
      <c r="D217" s="28">
        <v>45868</v>
      </c>
      <c r="E217" s="29">
        <v>4154.79</v>
      </c>
      <c r="F217" s="18">
        <f t="shared" si="6"/>
        <v>447692.03052566783</v>
      </c>
      <c r="G217" s="2">
        <f t="shared" si="7"/>
        <v>-5.137408888130704E-3</v>
      </c>
    </row>
    <row r="218" spans="1:7" x14ac:dyDescent="0.25">
      <c r="A218" s="28">
        <v>45853</v>
      </c>
      <c r="B218" s="29">
        <v>3329.800048828125</v>
      </c>
      <c r="C218" s="21"/>
      <c r="D218" s="28">
        <v>45869</v>
      </c>
      <c r="E218" s="29">
        <v>4179.6899999999996</v>
      </c>
      <c r="F218" s="18">
        <f t="shared" si="6"/>
        <v>447459.04310242337</v>
      </c>
      <c r="G218" s="2">
        <f t="shared" si="7"/>
        <v>-5.2055443012834375E-4</v>
      </c>
    </row>
    <row r="219" spans="1:7" x14ac:dyDescent="0.25">
      <c r="A219" s="28">
        <v>45854</v>
      </c>
      <c r="B219" s="29">
        <v>3352.5</v>
      </c>
      <c r="C219" s="21"/>
      <c r="D219" s="28">
        <v>45870</v>
      </c>
      <c r="E219" s="29">
        <v>4186.71</v>
      </c>
      <c r="F219" s="18">
        <f t="shared" si="6"/>
        <v>451266.11938765639</v>
      </c>
      <c r="G219" s="2">
        <f t="shared" si="7"/>
        <v>8.4722209108990445E-3</v>
      </c>
    </row>
    <row r="220" spans="1:7" x14ac:dyDescent="0.25">
      <c r="A220" s="30">
        <v>45855</v>
      </c>
      <c r="B220" s="31">
        <v>3340.10009765625</v>
      </c>
      <c r="C220" s="24"/>
      <c r="D220" s="30">
        <v>45871</v>
      </c>
      <c r="E220" s="31">
        <v>4129.42</v>
      </c>
      <c r="F220" s="18">
        <f t="shared" si="6"/>
        <v>443444.835249533</v>
      </c>
      <c r="G220" s="1">
        <f t="shared" si="7"/>
        <v>-1.7483821637296188E-2</v>
      </c>
    </row>
    <row r="221" spans="1:7" x14ac:dyDescent="0.25">
      <c r="A221" s="28">
        <v>45856</v>
      </c>
      <c r="B221" s="29">
        <v>3353</v>
      </c>
      <c r="C221" s="21"/>
      <c r="D221" s="28">
        <v>45874</v>
      </c>
      <c r="E221" s="29">
        <v>4097.38</v>
      </c>
      <c r="F221" s="18">
        <f t="shared" si="6"/>
        <v>441703.51849539857</v>
      </c>
      <c r="G221" s="2">
        <f t="shared" si="7"/>
        <v>-3.9345246322505323E-3</v>
      </c>
    </row>
    <row r="222" spans="1:7" x14ac:dyDescent="0.25">
      <c r="A222" s="28">
        <v>45859</v>
      </c>
      <c r="B222" s="29">
        <v>3401.89990234375</v>
      </c>
      <c r="C222" s="21"/>
      <c r="D222" s="28">
        <v>45875</v>
      </c>
      <c r="E222" s="29">
        <v>4093.12</v>
      </c>
      <c r="F222" s="18">
        <f t="shared" si="6"/>
        <v>447679.35809289489</v>
      </c>
      <c r="G222" s="2">
        <f t="shared" si="7"/>
        <v>1.3438373249311112E-2</v>
      </c>
    </row>
    <row r="223" spans="1:7" x14ac:dyDescent="0.25">
      <c r="A223" s="28">
        <v>45860</v>
      </c>
      <c r="B223" s="29">
        <v>3439.199951171875</v>
      </c>
      <c r="C223" s="21"/>
      <c r="D223" s="28">
        <v>45876</v>
      </c>
      <c r="E223" s="29">
        <v>4049.35</v>
      </c>
      <c r="F223" s="18">
        <f t="shared" si="6"/>
        <v>447748.1540673881</v>
      </c>
      <c r="G223" s="2">
        <f t="shared" si="7"/>
        <v>1.5366062287410404E-4</v>
      </c>
    </row>
    <row r="224" spans="1:7" x14ac:dyDescent="0.25">
      <c r="A224" s="28">
        <v>45861</v>
      </c>
      <c r="B224" s="29">
        <v>3394.10009765625</v>
      </c>
      <c r="C224" s="21"/>
      <c r="D224" s="28">
        <v>45878</v>
      </c>
      <c r="E224" s="29">
        <v>4034.74</v>
      </c>
      <c r="F224" s="18">
        <f t="shared" si="6"/>
        <v>440282.33615405904</v>
      </c>
      <c r="G224" s="2">
        <f t="shared" si="7"/>
        <v>-1.6814724040851773E-2</v>
      </c>
    </row>
    <row r="225" spans="1:7" x14ac:dyDescent="0.25">
      <c r="A225" s="28">
        <v>45862</v>
      </c>
      <c r="B225" s="29">
        <v>3371</v>
      </c>
      <c r="C225" s="21"/>
      <c r="D225" s="28">
        <v>45881</v>
      </c>
      <c r="E225" s="29">
        <v>4045.87</v>
      </c>
      <c r="F225" s="18">
        <f t="shared" si="6"/>
        <v>438492.06497712177</v>
      </c>
      <c r="G225" s="2">
        <f t="shared" si="7"/>
        <v>-4.074478390310169E-3</v>
      </c>
    </row>
    <row r="226" spans="1:7" x14ac:dyDescent="0.25">
      <c r="A226" s="28">
        <v>45863</v>
      </c>
      <c r="B226" s="29">
        <v>3334</v>
      </c>
      <c r="C226" s="21"/>
      <c r="D226" s="28">
        <v>45882</v>
      </c>
      <c r="E226" s="29">
        <v>4017.12</v>
      </c>
      <c r="F226" s="18">
        <f t="shared" si="6"/>
        <v>430597.45912392664</v>
      </c>
      <c r="G226" s="2">
        <f t="shared" si="7"/>
        <v>-1.8168031682884393E-2</v>
      </c>
    </row>
    <row r="227" spans="1:7" x14ac:dyDescent="0.25">
      <c r="A227" s="28">
        <v>45866</v>
      </c>
      <c r="B227" s="29">
        <v>3309.10009765625</v>
      </c>
      <c r="C227" s="21"/>
      <c r="D227" s="28">
        <v>45883</v>
      </c>
      <c r="E227" s="29">
        <v>4020.64</v>
      </c>
      <c r="F227" s="18">
        <f t="shared" si="6"/>
        <v>427756.04483678256</v>
      </c>
      <c r="G227" s="2">
        <f t="shared" si="7"/>
        <v>-6.6206397549977841E-3</v>
      </c>
    </row>
    <row r="228" spans="1:7" x14ac:dyDescent="0.25">
      <c r="A228" s="28">
        <v>45867</v>
      </c>
      <c r="B228" s="29">
        <v>3323.39990234375</v>
      </c>
      <c r="C228" s="21"/>
      <c r="D228" s="28">
        <v>45884</v>
      </c>
      <c r="E228" s="29">
        <v>4048.74</v>
      </c>
      <c r="F228" s="18">
        <f t="shared" si="6"/>
        <v>432607.01069326221</v>
      </c>
      <c r="G228" s="2">
        <f t="shared" si="7"/>
        <v>1.1276674958628897E-2</v>
      </c>
    </row>
    <row r="229" spans="1:7" x14ac:dyDescent="0.25">
      <c r="A229" s="28">
        <v>45868</v>
      </c>
      <c r="B229" s="29">
        <v>3295.800048828125</v>
      </c>
      <c r="C229" s="21"/>
      <c r="D229" s="28">
        <v>45885</v>
      </c>
      <c r="E229" s="29">
        <v>4019.24</v>
      </c>
      <c r="F229" s="18">
        <f t="shared" si="6"/>
        <v>425888.44563678984</v>
      </c>
      <c r="G229" s="2">
        <f t="shared" si="7"/>
        <v>-1.5652272061556102E-2</v>
      </c>
    </row>
    <row r="230" spans="1:7" x14ac:dyDescent="0.25">
      <c r="A230" s="28">
        <v>45869</v>
      </c>
      <c r="B230" s="29">
        <v>3293.199951171875</v>
      </c>
      <c r="C230" s="21"/>
      <c r="D230" s="28">
        <v>45889</v>
      </c>
      <c r="E230" s="29">
        <v>4036.42</v>
      </c>
      <c r="F230" s="18">
        <f t="shared" si="6"/>
        <v>427371.45536441059</v>
      </c>
      <c r="G230" s="2">
        <f t="shared" si="7"/>
        <v>3.4761066802431908E-3</v>
      </c>
    </row>
    <row r="231" spans="1:7" x14ac:dyDescent="0.25">
      <c r="A231" s="28">
        <v>45870</v>
      </c>
      <c r="B231" s="29">
        <v>3347.699951171875</v>
      </c>
      <c r="C231" s="21"/>
      <c r="D231" s="28">
        <v>45890</v>
      </c>
      <c r="E231" s="29">
        <v>4025.51</v>
      </c>
      <c r="F231" s="18">
        <f t="shared" si="6"/>
        <v>433269.87902657542</v>
      </c>
      <c r="G231" s="2">
        <f t="shared" si="7"/>
        <v>1.3707257088868196E-2</v>
      </c>
    </row>
    <row r="232" spans="1:7" x14ac:dyDescent="0.25">
      <c r="A232" s="28">
        <v>45873</v>
      </c>
      <c r="B232" s="29">
        <v>3374.39990234375</v>
      </c>
      <c r="C232" s="21"/>
      <c r="D232" s="28">
        <v>45891</v>
      </c>
      <c r="E232" s="29">
        <v>4034.18</v>
      </c>
      <c r="F232" s="18">
        <f t="shared" si="6"/>
        <v>437666.07461829187</v>
      </c>
      <c r="G232" s="2">
        <f t="shared" si="7"/>
        <v>1.0095421852109718E-2</v>
      </c>
    </row>
    <row r="233" spans="1:7" x14ac:dyDescent="0.25">
      <c r="A233" s="28">
        <v>45874</v>
      </c>
      <c r="B233" s="29">
        <v>3381.89990234375</v>
      </c>
      <c r="C233" s="21"/>
      <c r="D233" s="28">
        <v>45892</v>
      </c>
      <c r="E233" s="29">
        <v>4008.7</v>
      </c>
      <c r="F233" s="18">
        <f t="shared" si="6"/>
        <v>435868.38300100871</v>
      </c>
      <c r="G233" s="2">
        <f t="shared" si="7"/>
        <v>-4.1159089706181177E-3</v>
      </c>
    </row>
    <row r="234" spans="1:7" x14ac:dyDescent="0.25">
      <c r="A234" s="28">
        <v>45875</v>
      </c>
      <c r="B234" s="29">
        <v>3380</v>
      </c>
      <c r="C234" s="21"/>
      <c r="D234" s="28">
        <v>45895</v>
      </c>
      <c r="E234" s="29">
        <v>4017.44</v>
      </c>
      <c r="F234" s="18">
        <f t="shared" si="6"/>
        <v>436573.29009598051</v>
      </c>
      <c r="G234" s="2">
        <f t="shared" si="7"/>
        <v>1.6159412602592238E-3</v>
      </c>
    </row>
    <row r="235" spans="1:7" x14ac:dyDescent="0.25">
      <c r="A235" s="28">
        <v>45876</v>
      </c>
      <c r="B235" s="29">
        <v>3400.300048828125</v>
      </c>
      <c r="C235" s="21"/>
      <c r="D235" s="28">
        <v>45896</v>
      </c>
      <c r="E235" s="29">
        <v>4044.51</v>
      </c>
      <c r="F235" s="18">
        <f t="shared" si="6"/>
        <v>442154.67096867575</v>
      </c>
      <c r="G235" s="2">
        <f t="shared" si="7"/>
        <v>1.270348999792204E-2</v>
      </c>
    </row>
    <row r="236" spans="1:7" x14ac:dyDescent="0.25">
      <c r="A236" s="28">
        <v>45877</v>
      </c>
      <c r="B236" s="29">
        <v>3439.10009765625</v>
      </c>
      <c r="C236" s="21"/>
      <c r="D236" s="28">
        <v>45897</v>
      </c>
      <c r="E236" s="29">
        <v>4051.97</v>
      </c>
      <c r="F236" s="18">
        <f t="shared" si="6"/>
        <v>448024.84662101167</v>
      </c>
      <c r="G236" s="2">
        <f t="shared" si="7"/>
        <v>1.3188936901449276E-2</v>
      </c>
    </row>
    <row r="237" spans="1:7" x14ac:dyDescent="0.25">
      <c r="A237" s="28">
        <v>45880</v>
      </c>
      <c r="B237" s="29">
        <v>3353.10009765625</v>
      </c>
      <c r="C237" s="21"/>
      <c r="D237" s="28">
        <v>45898</v>
      </c>
      <c r="E237" s="29">
        <v>4019.09</v>
      </c>
      <c r="F237" s="18">
        <f t="shared" si="6"/>
        <v>433276.67701410339</v>
      </c>
      <c r="G237" s="2">
        <f t="shared" si="7"/>
        <v>-3.3472191203153839E-2</v>
      </c>
    </row>
    <row r="238" spans="1:7" x14ac:dyDescent="0.25">
      <c r="A238" s="28">
        <v>45881</v>
      </c>
      <c r="B238" s="29">
        <v>3348.89990234375</v>
      </c>
      <c r="C238" s="21"/>
      <c r="D238" s="28">
        <v>45899</v>
      </c>
      <c r="E238" s="29">
        <v>4018.41</v>
      </c>
      <c r="F238" s="18">
        <f t="shared" si="6"/>
        <v>432660.72610175685</v>
      </c>
      <c r="G238" s="2">
        <f t="shared" si="7"/>
        <v>-1.422622499070107E-3</v>
      </c>
    </row>
    <row r="239" spans="1:7" x14ac:dyDescent="0.25">
      <c r="A239" s="28">
        <v>45882</v>
      </c>
      <c r="B239" s="29">
        <v>3358.699951171875</v>
      </c>
      <c r="C239" s="21"/>
      <c r="D239" s="28">
        <v>45903</v>
      </c>
      <c r="E239" s="29">
        <v>4016.94</v>
      </c>
      <c r="F239" s="18">
        <f t="shared" si="6"/>
        <v>433768.10472391796</v>
      </c>
      <c r="G239" s="2">
        <f t="shared" si="7"/>
        <v>2.5561920050242246E-3</v>
      </c>
    </row>
    <row r="240" spans="1:7" x14ac:dyDescent="0.25">
      <c r="A240" s="28">
        <v>45883</v>
      </c>
      <c r="B240" s="29">
        <v>3335.199951171875</v>
      </c>
      <c r="C240" s="21"/>
      <c r="D240" s="28">
        <v>45904</v>
      </c>
      <c r="E240" s="29">
        <v>4002.86</v>
      </c>
      <c r="F240" s="18">
        <f t="shared" si="6"/>
        <v>429223.34896489297</v>
      </c>
      <c r="G240" s="2">
        <f t="shared" si="7"/>
        <v>-1.0532659980869276E-2</v>
      </c>
    </row>
    <row r="241" spans="1:7" x14ac:dyDescent="0.25">
      <c r="A241" s="28">
        <v>45884</v>
      </c>
      <c r="B241" s="29">
        <v>3336</v>
      </c>
      <c r="C241" s="21"/>
      <c r="D241" s="28">
        <v>45905</v>
      </c>
      <c r="E241" s="29">
        <v>3991.09</v>
      </c>
      <c r="F241" s="18">
        <f t="shared" si="6"/>
        <v>428063.92113694508</v>
      </c>
      <c r="G241" s="2">
        <f t="shared" si="7"/>
        <v>-2.7048775253820851E-3</v>
      </c>
    </row>
    <row r="242" spans="1:7" x14ac:dyDescent="0.25">
      <c r="A242" s="28">
        <v>45887</v>
      </c>
      <c r="B242" s="29">
        <v>3331.699951171875</v>
      </c>
      <c r="C242" s="21"/>
      <c r="D242" s="28">
        <v>45906</v>
      </c>
      <c r="E242" s="29">
        <v>3960.94</v>
      </c>
      <c r="F242" s="18">
        <f t="shared" si="6"/>
        <v>424282.58710276167</v>
      </c>
      <c r="G242" s="2">
        <f t="shared" si="7"/>
        <v>-8.8728206318350045E-3</v>
      </c>
    </row>
    <row r="243" spans="1:7" x14ac:dyDescent="0.25">
      <c r="A243" s="28">
        <v>45888</v>
      </c>
      <c r="B243" s="29">
        <v>3313.39990234375</v>
      </c>
      <c r="C243" s="21"/>
      <c r="D243" s="28">
        <v>45909</v>
      </c>
      <c r="E243" s="29">
        <v>3945.29</v>
      </c>
      <c r="F243" s="18">
        <f t="shared" si="6"/>
        <v>420284.9599346969</v>
      </c>
      <c r="G243" s="2">
        <f t="shared" si="7"/>
        <v>-9.4667549978022514E-3</v>
      </c>
    </row>
    <row r="244" spans="1:7" x14ac:dyDescent="0.25">
      <c r="A244" s="28">
        <v>45889</v>
      </c>
      <c r="B244" s="29">
        <v>3343.39990234375</v>
      </c>
      <c r="C244" s="21"/>
      <c r="D244" s="28">
        <v>45910</v>
      </c>
      <c r="E244" s="29">
        <v>3919.13</v>
      </c>
      <c r="F244" s="18">
        <f t="shared" si="6"/>
        <v>421278.26877773553</v>
      </c>
      <c r="G244" s="2">
        <f t="shared" si="7"/>
        <v>2.3606290541753911E-3</v>
      </c>
    </row>
    <row r="245" spans="1:7" x14ac:dyDescent="0.25">
      <c r="A245" s="28">
        <v>45890</v>
      </c>
      <c r="B245" s="29">
        <v>3336.89990234375</v>
      </c>
      <c r="C245" s="21"/>
      <c r="D245" s="28">
        <v>45911</v>
      </c>
      <c r="E245" s="29">
        <v>3921.58</v>
      </c>
      <c r="F245" s="18">
        <f t="shared" si="6"/>
        <v>420722.09493419732</v>
      </c>
      <c r="G245" s="2">
        <f t="shared" si="7"/>
        <v>-1.3210776346335084E-3</v>
      </c>
    </row>
    <row r="246" spans="1:7" x14ac:dyDescent="0.25">
      <c r="A246" s="28">
        <v>45891</v>
      </c>
      <c r="B246" s="29">
        <v>3374.39990234375</v>
      </c>
      <c r="C246" s="21"/>
      <c r="D246" s="28">
        <v>45912</v>
      </c>
      <c r="E246" s="29">
        <v>3903.18</v>
      </c>
      <c r="F246" s="18">
        <f t="shared" si="6"/>
        <v>423453.95325162099</v>
      </c>
      <c r="G246" s="2">
        <f t="shared" si="7"/>
        <v>6.4722704696843466E-3</v>
      </c>
    </row>
    <row r="247" spans="1:7" x14ac:dyDescent="0.25">
      <c r="A247" s="28">
        <v>45894</v>
      </c>
      <c r="B247" s="29">
        <v>3373.800048828125</v>
      </c>
      <c r="C247" s="21"/>
      <c r="D247" s="28">
        <v>45913</v>
      </c>
      <c r="E247" s="29">
        <v>3906.24</v>
      </c>
      <c r="F247" s="18">
        <f t="shared" si="6"/>
        <v>423710.59632582212</v>
      </c>
      <c r="G247" s="2">
        <f t="shared" si="7"/>
        <v>6.0588720852462611E-4</v>
      </c>
    </row>
    <row r="248" spans="1:7" x14ac:dyDescent="0.25">
      <c r="A248" s="28">
        <v>45895</v>
      </c>
      <c r="B248" s="29">
        <v>3388.60009765625</v>
      </c>
      <c r="C248" s="21"/>
      <c r="D248" s="28">
        <v>45916</v>
      </c>
      <c r="E248" s="29">
        <v>3897.57</v>
      </c>
      <c r="F248" s="18">
        <f t="shared" si="6"/>
        <v>424624.75071668101</v>
      </c>
      <c r="G248" s="2">
        <f t="shared" si="7"/>
        <v>2.1551730642424606E-3</v>
      </c>
    </row>
    <row r="249" spans="1:7" x14ac:dyDescent="0.25">
      <c r="A249" s="28">
        <v>45896</v>
      </c>
      <c r="B249" s="29">
        <v>3404.60009765625</v>
      </c>
      <c r="C249" s="21"/>
      <c r="D249" s="28">
        <v>45917</v>
      </c>
      <c r="E249" s="29">
        <v>3881.92</v>
      </c>
      <c r="F249" s="18">
        <f t="shared" si="6"/>
        <v>424916.65147523797</v>
      </c>
      <c r="G249" s="2">
        <f t="shared" si="7"/>
        <v>6.8719610201715693E-4</v>
      </c>
    </row>
    <row r="250" spans="1:7" x14ac:dyDescent="0.25">
      <c r="A250" s="28">
        <v>45897</v>
      </c>
      <c r="B250" s="29">
        <v>3431.800048828125</v>
      </c>
      <c r="C250" s="21"/>
      <c r="D250" s="28">
        <v>45918</v>
      </c>
      <c r="E250" s="29">
        <v>3880.01</v>
      </c>
      <c r="F250" s="18">
        <f t="shared" si="6"/>
        <v>428100.64588835981</v>
      </c>
      <c r="G250" s="2">
        <f t="shared" si="7"/>
        <v>7.4652863666008493E-3</v>
      </c>
    </row>
    <row r="251" spans="1:7" x14ac:dyDescent="0.25">
      <c r="A251" s="28">
        <v>45898</v>
      </c>
      <c r="B251" s="29">
        <v>3473.699951171875</v>
      </c>
      <c r="C251" s="21"/>
      <c r="D251" s="28">
        <v>45919</v>
      </c>
      <c r="E251" s="29">
        <v>3892.45</v>
      </c>
      <c r="F251" s="18">
        <f t="shared" si="6"/>
        <v>434716.78301054001</v>
      </c>
      <c r="G251" s="2">
        <f t="shared" si="7"/>
        <v>1.5336423627070649E-2</v>
      </c>
    </row>
    <row r="252" spans="1:7" x14ac:dyDescent="0.25">
      <c r="A252" s="28">
        <v>45902</v>
      </c>
      <c r="B252" s="29">
        <v>3549.39990234375</v>
      </c>
      <c r="C252" s="21"/>
      <c r="D252" s="28">
        <v>45920</v>
      </c>
      <c r="E252" s="29">
        <v>3891.19</v>
      </c>
      <c r="F252" s="18">
        <f t="shared" si="6"/>
        <v>444046.48055297078</v>
      </c>
      <c r="G252" s="2">
        <f t="shared" si="7"/>
        <v>2.1234497373871352E-2</v>
      </c>
    </row>
    <row r="253" spans="1:7" x14ac:dyDescent="0.25">
      <c r="A253" s="28">
        <v>45903</v>
      </c>
      <c r="B253" s="29">
        <v>3593.199951171875</v>
      </c>
      <c r="C253" s="21"/>
      <c r="D253" s="28">
        <v>45923</v>
      </c>
      <c r="E253" s="29">
        <v>3852.16</v>
      </c>
      <c r="F253" s="18">
        <f t="shared" si="6"/>
        <v>445017.16682381468</v>
      </c>
      <c r="G253" s="2">
        <f t="shared" si="7"/>
        <v>2.1836156711799804E-3</v>
      </c>
    </row>
    <row r="254" spans="1:7" x14ac:dyDescent="0.25">
      <c r="A254" s="28">
        <v>45904</v>
      </c>
      <c r="B254" s="29">
        <v>3565.800048828125</v>
      </c>
      <c r="C254" s="21"/>
      <c r="D254" s="28">
        <v>45924</v>
      </c>
      <c r="E254" s="29">
        <v>3844.47</v>
      </c>
      <c r="F254" s="18">
        <f t="shared" si="6"/>
        <v>440742.08815518214</v>
      </c>
      <c r="G254" s="2">
        <f t="shared" si="7"/>
        <v>-9.652988304894387E-3</v>
      </c>
    </row>
    <row r="255" spans="1:7" x14ac:dyDescent="0.25">
      <c r="A255" s="28">
        <v>45905</v>
      </c>
      <c r="B255" s="29">
        <v>3613.199951171875</v>
      </c>
      <c r="C255" s="21"/>
      <c r="D255" s="28">
        <v>45925</v>
      </c>
      <c r="E255" s="29">
        <v>3881.26</v>
      </c>
      <c r="F255" s="18">
        <f t="shared" si="6"/>
        <v>450874.62513146934</v>
      </c>
      <c r="G255" s="2">
        <f t="shared" si="7"/>
        <v>2.2729437549401717E-2</v>
      </c>
    </row>
    <row r="256" spans="1:7" x14ac:dyDescent="0.25">
      <c r="A256" s="28">
        <v>45908</v>
      </c>
      <c r="B256" s="29">
        <v>3638.10009765625</v>
      </c>
      <c r="C256" s="21"/>
      <c r="D256" s="28">
        <v>45926</v>
      </c>
      <c r="E256" s="29">
        <v>3898.87</v>
      </c>
      <c r="F256" s="18">
        <f t="shared" si="6"/>
        <v>456041.60007440142</v>
      </c>
      <c r="G256" s="2">
        <f t="shared" si="7"/>
        <v>1.1394725787843405E-2</v>
      </c>
    </row>
    <row r="257" spans="1:7" x14ac:dyDescent="0.25">
      <c r="A257" s="28">
        <v>45909</v>
      </c>
      <c r="B257" s="29">
        <v>3643.300048828125</v>
      </c>
      <c r="C257" s="21"/>
      <c r="D257" s="28">
        <v>45927</v>
      </c>
      <c r="E257" s="29">
        <v>3908.12</v>
      </c>
      <c r="F257" s="18">
        <f t="shared" si="6"/>
        <v>457776.91922936961</v>
      </c>
      <c r="G257" s="2">
        <f t="shared" si="7"/>
        <v>3.7979559490899364E-3</v>
      </c>
    </row>
    <row r="258" spans="1:7" x14ac:dyDescent="0.25">
      <c r="A258" s="28">
        <v>45910</v>
      </c>
      <c r="B258" s="29">
        <v>3643.60009765625</v>
      </c>
      <c r="C258" s="21"/>
      <c r="D258" s="28">
        <v>45930</v>
      </c>
      <c r="E258" s="29">
        <v>3901.29</v>
      </c>
      <c r="F258" s="18">
        <f t="shared" si="6"/>
        <v>457014.52337268461</v>
      </c>
      <c r="G258" s="2">
        <f t="shared" si="7"/>
        <v>-1.6668193375951705E-3</v>
      </c>
    </row>
    <row r="259" spans="1:7" x14ac:dyDescent="0.25">
      <c r="A259" s="28">
        <v>45911</v>
      </c>
      <c r="B259" s="29">
        <v>3636.89990234375</v>
      </c>
      <c r="C259" s="21"/>
      <c r="D259" s="28">
        <v>45931</v>
      </c>
      <c r="E259" s="29">
        <v>3923.55</v>
      </c>
      <c r="F259" s="18">
        <f t="shared" ref="F259:F322" si="8">(B259*E259)/$J$2</f>
        <v>458776.96257547714</v>
      </c>
      <c r="G259" s="2">
        <f t="shared" ref="G259:G322" si="9">LN(F259/F258)</f>
        <v>3.8490014499704237E-3</v>
      </c>
    </row>
    <row r="260" spans="1:7" x14ac:dyDescent="0.25">
      <c r="A260" s="28">
        <v>45912</v>
      </c>
      <c r="B260" s="29">
        <v>3649.39990234375</v>
      </c>
      <c r="C260" s="21"/>
      <c r="D260" s="28">
        <v>45932</v>
      </c>
      <c r="E260" s="29">
        <v>3890</v>
      </c>
      <c r="F260" s="18">
        <f t="shared" si="8"/>
        <v>456417.32309865719</v>
      </c>
      <c r="G260" s="2">
        <f t="shared" si="9"/>
        <v>-5.1565984237917258E-3</v>
      </c>
    </row>
    <row r="261" spans="1:7" x14ac:dyDescent="0.25">
      <c r="A261" s="28">
        <v>45915</v>
      </c>
      <c r="B261" s="29">
        <v>3682.199951171875</v>
      </c>
      <c r="C261" s="21"/>
      <c r="D261" s="28">
        <v>45933</v>
      </c>
      <c r="E261" s="29">
        <v>3897.64</v>
      </c>
      <c r="F261" s="18">
        <f t="shared" si="8"/>
        <v>461423.97230928042</v>
      </c>
      <c r="G261" s="2">
        <f t="shared" si="9"/>
        <v>1.0909726755772569E-2</v>
      </c>
    </row>
    <row r="262" spans="1:7" x14ac:dyDescent="0.25">
      <c r="A262" s="28">
        <v>45916</v>
      </c>
      <c r="B262" s="29">
        <v>3688.89990234375</v>
      </c>
      <c r="C262" s="21"/>
      <c r="D262" s="28">
        <v>45934</v>
      </c>
      <c r="E262" s="29">
        <v>3874.18</v>
      </c>
      <c r="F262" s="18">
        <f t="shared" si="8"/>
        <v>459481.18004808092</v>
      </c>
      <c r="G262" s="2">
        <f t="shared" si="9"/>
        <v>-4.219316481094677E-3</v>
      </c>
    </row>
    <row r="263" spans="1:7" x14ac:dyDescent="0.25">
      <c r="A263" s="28">
        <v>45917</v>
      </c>
      <c r="B263" s="29">
        <v>3681.800048828125</v>
      </c>
      <c r="C263" s="21"/>
      <c r="D263" s="28">
        <v>45937</v>
      </c>
      <c r="E263" s="29">
        <v>3853.19</v>
      </c>
      <c r="F263" s="18">
        <f t="shared" si="8"/>
        <v>456112.19676071848</v>
      </c>
      <c r="G263" s="2">
        <f t="shared" si="9"/>
        <v>-7.3591587209908566E-3</v>
      </c>
    </row>
    <row r="264" spans="1:7" x14ac:dyDescent="0.25">
      <c r="A264" s="28">
        <v>45918</v>
      </c>
      <c r="B264" s="29">
        <v>3643.699951171875</v>
      </c>
      <c r="C264" s="21"/>
      <c r="D264" s="28">
        <v>45938</v>
      </c>
      <c r="E264" s="29">
        <v>3867.54</v>
      </c>
      <c r="F264" s="18">
        <f t="shared" si="8"/>
        <v>453073.31395039649</v>
      </c>
      <c r="G264" s="2">
        <f t="shared" si="9"/>
        <v>-6.6848714397378271E-3</v>
      </c>
    </row>
    <row r="265" spans="1:7" x14ac:dyDescent="0.25">
      <c r="A265" s="28">
        <v>45919</v>
      </c>
      <c r="B265" s="29">
        <v>3671.5</v>
      </c>
      <c r="C265" s="21"/>
      <c r="D265" s="28">
        <v>45939</v>
      </c>
      <c r="E265" s="29">
        <v>3879.8</v>
      </c>
      <c r="F265" s="18">
        <f t="shared" si="8"/>
        <v>457977.27989045909</v>
      </c>
      <c r="G265" s="2">
        <f t="shared" si="9"/>
        <v>1.0765622319331083E-2</v>
      </c>
    </row>
    <row r="266" spans="1:7" x14ac:dyDescent="0.25">
      <c r="A266" s="28">
        <v>45922</v>
      </c>
      <c r="B266" s="29">
        <v>3740.699951171875</v>
      </c>
      <c r="C266" s="21"/>
      <c r="D266" s="28">
        <v>45940</v>
      </c>
      <c r="E266" s="29">
        <v>3894.99</v>
      </c>
      <c r="F266" s="18">
        <f t="shared" si="8"/>
        <v>468436.02072212525</v>
      </c>
      <c r="G266" s="2">
        <f t="shared" si="9"/>
        <v>2.2579954736231901E-2</v>
      </c>
    </row>
    <row r="267" spans="1:7" x14ac:dyDescent="0.25">
      <c r="A267" s="28">
        <v>45923</v>
      </c>
      <c r="B267" s="29">
        <v>3780.60009765625</v>
      </c>
      <c r="C267" s="21"/>
      <c r="D267" s="28">
        <v>45941</v>
      </c>
      <c r="E267" s="29">
        <v>3913.24</v>
      </c>
      <c r="F267" s="18">
        <f t="shared" si="8"/>
        <v>475650.8611973676</v>
      </c>
      <c r="G267" s="2">
        <f t="shared" si="9"/>
        <v>1.5284569826429451E-2</v>
      </c>
    </row>
    <row r="268" spans="1:7" x14ac:dyDescent="0.25">
      <c r="A268" s="28">
        <v>45924</v>
      </c>
      <c r="B268" s="29">
        <v>3732.10009765625</v>
      </c>
      <c r="C268" s="21"/>
      <c r="D268" s="28">
        <v>45945</v>
      </c>
      <c r="E268" s="29">
        <v>3933.31</v>
      </c>
      <c r="F268" s="18">
        <f t="shared" si="8"/>
        <v>471957.09757798858</v>
      </c>
      <c r="G268" s="2">
        <f t="shared" si="9"/>
        <v>-7.7960137278259159E-3</v>
      </c>
    </row>
    <row r="269" spans="1:7" x14ac:dyDescent="0.25">
      <c r="A269" s="28">
        <v>45925</v>
      </c>
      <c r="B269" s="29">
        <v>3736.89990234375</v>
      </c>
      <c r="C269" s="21"/>
      <c r="D269" s="28">
        <v>45946</v>
      </c>
      <c r="E269" s="29">
        <v>3902.16</v>
      </c>
      <c r="F269" s="18">
        <f t="shared" si="8"/>
        <v>468821.58598197898</v>
      </c>
      <c r="G269" s="2">
        <f t="shared" si="9"/>
        <v>-6.6658041063112324E-3</v>
      </c>
    </row>
    <row r="270" spans="1:7" x14ac:dyDescent="0.25">
      <c r="A270" s="28">
        <v>45926</v>
      </c>
      <c r="B270" s="29">
        <v>3775.300048828125</v>
      </c>
      <c r="C270" s="21"/>
      <c r="D270" s="28">
        <v>45947</v>
      </c>
      <c r="E270" s="29">
        <v>3877.07</v>
      </c>
      <c r="F270" s="18">
        <f t="shared" si="8"/>
        <v>470593.77491554443</v>
      </c>
      <c r="G270" s="2">
        <f t="shared" si="9"/>
        <v>3.7729658458446492E-3</v>
      </c>
    </row>
    <row r="271" spans="1:7" x14ac:dyDescent="0.25">
      <c r="A271" s="28">
        <v>45929</v>
      </c>
      <c r="B271" s="29">
        <v>3820.89990234375</v>
      </c>
      <c r="C271" s="21"/>
      <c r="D271" s="28">
        <v>45948</v>
      </c>
      <c r="E271" s="29">
        <v>3808.12</v>
      </c>
      <c r="F271" s="18">
        <f t="shared" si="8"/>
        <v>467807.6804620531</v>
      </c>
      <c r="G271" s="2">
        <f t="shared" si="9"/>
        <v>-5.9379759566487444E-3</v>
      </c>
    </row>
    <row r="272" spans="1:7" x14ac:dyDescent="0.25">
      <c r="A272" s="28">
        <v>45930</v>
      </c>
      <c r="B272" s="29">
        <v>3840.800048828125</v>
      </c>
      <c r="C272" s="21"/>
      <c r="D272" s="28">
        <v>45951</v>
      </c>
      <c r="E272" s="29">
        <v>3877.26</v>
      </c>
      <c r="F272" s="18">
        <f t="shared" si="8"/>
        <v>478781.85750987614</v>
      </c>
      <c r="G272" s="2">
        <f t="shared" si="9"/>
        <v>2.3187809107176559E-2</v>
      </c>
    </row>
    <row r="273" spans="1:7" x14ac:dyDescent="0.25">
      <c r="A273" s="28">
        <v>45931</v>
      </c>
      <c r="B273" s="29">
        <v>3867.5</v>
      </c>
      <c r="C273" s="21"/>
      <c r="D273" s="28">
        <v>45952</v>
      </c>
      <c r="E273" s="29">
        <v>3876.6</v>
      </c>
      <c r="F273" s="18">
        <f t="shared" si="8"/>
        <v>482028.12169217045</v>
      </c>
      <c r="G273" s="2">
        <f t="shared" si="9"/>
        <v>6.757374725828354E-3</v>
      </c>
    </row>
    <row r="274" spans="1:7" x14ac:dyDescent="0.25">
      <c r="A274" s="28">
        <v>45932</v>
      </c>
      <c r="B274" s="29">
        <v>3839.699951171875</v>
      </c>
      <c r="C274" s="21"/>
      <c r="D274" s="28">
        <v>45953</v>
      </c>
      <c r="E274" s="29">
        <v>3900.82</v>
      </c>
      <c r="F274" s="18">
        <f t="shared" si="8"/>
        <v>481553.18647625513</v>
      </c>
      <c r="G274" s="2">
        <f t="shared" si="9"/>
        <v>-9.8577099897818139E-4</v>
      </c>
    </row>
    <row r="275" spans="1:7" x14ac:dyDescent="0.25">
      <c r="A275" s="28">
        <v>45933</v>
      </c>
      <c r="B275" s="29">
        <v>3880.800048828125</v>
      </c>
      <c r="C275" s="21"/>
      <c r="D275" s="28">
        <v>45954</v>
      </c>
      <c r="E275" s="29">
        <v>3888.76</v>
      </c>
      <c r="F275" s="18">
        <f t="shared" si="8"/>
        <v>485202.99177231721</v>
      </c>
      <c r="G275" s="2">
        <f t="shared" si="9"/>
        <v>7.5506580015148048E-3</v>
      </c>
    </row>
    <row r="276" spans="1:7" x14ac:dyDescent="0.25">
      <c r="A276" s="28">
        <v>45936</v>
      </c>
      <c r="B276" s="29">
        <v>3948.5</v>
      </c>
      <c r="C276" s="21"/>
      <c r="D276" s="28">
        <v>45955</v>
      </c>
      <c r="E276" s="29">
        <v>3858.63</v>
      </c>
      <c r="F276" s="18">
        <f t="shared" si="8"/>
        <v>489842.3624139665</v>
      </c>
      <c r="G276" s="2">
        <f t="shared" si="9"/>
        <v>9.5162868749673266E-3</v>
      </c>
    </row>
    <row r="277" spans="1:7" x14ac:dyDescent="0.25">
      <c r="A277" s="28">
        <v>45937</v>
      </c>
      <c r="B277" s="29">
        <v>3976.60009765625</v>
      </c>
      <c r="C277" s="21"/>
      <c r="D277" s="28">
        <v>45958</v>
      </c>
      <c r="E277" s="29">
        <v>3844.2</v>
      </c>
      <c r="F277" s="18">
        <f t="shared" si="8"/>
        <v>491483.5146471521</v>
      </c>
      <c r="G277" s="2">
        <f t="shared" si="9"/>
        <v>3.3447681378366112E-3</v>
      </c>
    </row>
    <row r="278" spans="1:7" x14ac:dyDescent="0.25">
      <c r="A278" s="28">
        <v>45938</v>
      </c>
      <c r="B278" s="29">
        <v>4043.300048828125</v>
      </c>
      <c r="C278" s="21"/>
      <c r="D278" s="28">
        <v>45959</v>
      </c>
      <c r="E278" s="29">
        <v>3874.84</v>
      </c>
      <c r="F278" s="18">
        <f t="shared" si="8"/>
        <v>503710.27206840017</v>
      </c>
      <c r="G278" s="2">
        <f t="shared" si="9"/>
        <v>2.4572847646887296E-2</v>
      </c>
    </row>
    <row r="279" spans="1:7" x14ac:dyDescent="0.25">
      <c r="A279" s="28">
        <v>45939</v>
      </c>
      <c r="B279" s="29">
        <v>3946.300048828125</v>
      </c>
      <c r="C279" s="21"/>
      <c r="D279" s="28">
        <v>45960</v>
      </c>
      <c r="E279" s="29">
        <v>3885.29</v>
      </c>
      <c r="F279" s="18">
        <f t="shared" si="8"/>
        <v>492951.96853077941</v>
      </c>
      <c r="G279" s="2">
        <f t="shared" si="9"/>
        <v>-2.1589503389461723E-2</v>
      </c>
    </row>
    <row r="280" spans="1:7" x14ac:dyDescent="0.25">
      <c r="A280" s="28">
        <v>45940</v>
      </c>
      <c r="B280" s="29">
        <v>3975.89990234375</v>
      </c>
      <c r="C280" s="21"/>
      <c r="D280" s="28">
        <v>45961</v>
      </c>
      <c r="E280" s="29">
        <v>3870.42</v>
      </c>
      <c r="F280" s="18">
        <f t="shared" si="8"/>
        <v>494748.62887448317</v>
      </c>
      <c r="G280" s="2">
        <f t="shared" si="9"/>
        <v>3.6380707474989236E-3</v>
      </c>
    </row>
    <row r="281" spans="1:7" x14ac:dyDescent="0.25">
      <c r="A281" s="28">
        <v>45943</v>
      </c>
      <c r="B281" s="29">
        <v>4108.60009765625</v>
      </c>
      <c r="C281" s="21"/>
      <c r="D281" s="28">
        <v>45962</v>
      </c>
      <c r="E281" s="29">
        <v>3860.12</v>
      </c>
      <c r="F281" s="18">
        <f t="shared" si="8"/>
        <v>509900.85484478192</v>
      </c>
      <c r="G281" s="2">
        <f t="shared" si="9"/>
        <v>3.016649142604428E-2</v>
      </c>
    </row>
    <row r="282" spans="1:7" x14ac:dyDescent="0.25">
      <c r="A282" s="28">
        <v>45944</v>
      </c>
      <c r="B282" s="29">
        <v>4138.7001953125</v>
      </c>
      <c r="C282" s="21"/>
      <c r="D282" s="28">
        <v>45966</v>
      </c>
      <c r="E282" s="29">
        <v>3872.47</v>
      </c>
      <c r="F282" s="18">
        <f t="shared" si="8"/>
        <v>515279.76915242465</v>
      </c>
      <c r="G282" s="2">
        <f t="shared" si="9"/>
        <v>1.0493689679722598E-2</v>
      </c>
    </row>
    <row r="283" spans="1:7" x14ac:dyDescent="0.25">
      <c r="A283" s="28">
        <v>45945</v>
      </c>
      <c r="B283" s="29">
        <v>4176.89990234375</v>
      </c>
      <c r="C283" s="21"/>
      <c r="D283" s="28">
        <v>45967</v>
      </c>
      <c r="E283" s="29">
        <v>3839.47</v>
      </c>
      <c r="F283" s="18">
        <f t="shared" si="8"/>
        <v>515604.15484007099</v>
      </c>
      <c r="G283" s="2">
        <f t="shared" si="9"/>
        <v>6.2933506053033472E-4</v>
      </c>
    </row>
    <row r="284" spans="1:7" x14ac:dyDescent="0.25">
      <c r="A284" s="28">
        <v>45946</v>
      </c>
      <c r="B284" s="29">
        <v>4280.2001953125</v>
      </c>
      <c r="C284" s="21"/>
      <c r="D284" s="28">
        <v>45968</v>
      </c>
      <c r="E284" s="29">
        <v>3807.06</v>
      </c>
      <c r="F284" s="18">
        <f t="shared" si="8"/>
        <v>523895.73874154181</v>
      </c>
      <c r="G284" s="2">
        <f t="shared" si="9"/>
        <v>1.5953363361306219E-2</v>
      </c>
    </row>
    <row r="285" spans="1:7" x14ac:dyDescent="0.25">
      <c r="A285" s="28">
        <v>45947</v>
      </c>
      <c r="B285" s="29">
        <v>4189.89990234375</v>
      </c>
      <c r="C285" s="21"/>
      <c r="D285" s="28">
        <v>45969</v>
      </c>
      <c r="E285" s="29">
        <v>3779.2</v>
      </c>
      <c r="F285" s="18">
        <f t="shared" si="8"/>
        <v>509090.02272496751</v>
      </c>
      <c r="G285" s="2">
        <f t="shared" si="9"/>
        <v>-2.8667829808829686E-2</v>
      </c>
    </row>
    <row r="286" spans="1:7" x14ac:dyDescent="0.25">
      <c r="A286" s="28">
        <v>45950</v>
      </c>
      <c r="B286" s="29">
        <v>4336.39990234375</v>
      </c>
      <c r="C286" s="21"/>
      <c r="D286" s="28">
        <v>45972</v>
      </c>
      <c r="E286" s="29">
        <v>3760.93</v>
      </c>
      <c r="F286" s="18">
        <f t="shared" si="8"/>
        <v>524343.19769427448</v>
      </c>
      <c r="G286" s="2">
        <f t="shared" si="9"/>
        <v>2.9521564514453546E-2</v>
      </c>
    </row>
    <row r="287" spans="1:7" x14ac:dyDescent="0.25">
      <c r="A287" s="28">
        <v>45951</v>
      </c>
      <c r="B287" s="29">
        <v>4087.699951171875</v>
      </c>
      <c r="C287" s="21"/>
      <c r="D287" s="28">
        <v>45974</v>
      </c>
      <c r="E287" s="29">
        <v>3719.71</v>
      </c>
      <c r="F287" s="18">
        <f t="shared" si="8"/>
        <v>488853.97870933625</v>
      </c>
      <c r="G287" s="2">
        <f t="shared" si="9"/>
        <v>-7.0082594526781047E-2</v>
      </c>
    </row>
    <row r="288" spans="1:7" x14ac:dyDescent="0.25">
      <c r="A288" s="28">
        <v>45952</v>
      </c>
      <c r="B288" s="29">
        <v>4044.39990234375</v>
      </c>
      <c r="C288" s="21"/>
      <c r="D288" s="28">
        <v>45975</v>
      </c>
      <c r="E288" s="29">
        <v>3719.6</v>
      </c>
      <c r="F288" s="18">
        <f t="shared" si="8"/>
        <v>483661.35958015511</v>
      </c>
      <c r="G288" s="2">
        <f t="shared" si="9"/>
        <v>-1.0678841290862566E-2</v>
      </c>
    </row>
    <row r="289" spans="1:7" x14ac:dyDescent="0.25">
      <c r="A289" s="28">
        <v>45953</v>
      </c>
      <c r="B289" s="29">
        <v>4125.5</v>
      </c>
      <c r="C289" s="21"/>
      <c r="D289" s="28">
        <v>45976</v>
      </c>
      <c r="E289" s="29">
        <v>3764.77</v>
      </c>
      <c r="F289" s="18">
        <f t="shared" si="8"/>
        <v>499351.20548967051</v>
      </c>
      <c r="G289" s="2">
        <f t="shared" si="9"/>
        <v>3.1924675259716026E-2</v>
      </c>
    </row>
    <row r="290" spans="1:7" x14ac:dyDescent="0.25">
      <c r="A290" s="28">
        <v>45954</v>
      </c>
      <c r="B290" s="29">
        <v>4118.39990234375</v>
      </c>
      <c r="C290" s="21"/>
      <c r="D290" s="28">
        <v>45980</v>
      </c>
      <c r="E290" s="29">
        <v>3737.55</v>
      </c>
      <c r="F290" s="18">
        <f t="shared" si="8"/>
        <v>494887.61831940548</v>
      </c>
      <c r="G290" s="2">
        <f t="shared" si="9"/>
        <v>-8.9789637094556674E-3</v>
      </c>
    </row>
    <row r="291" spans="1:7" x14ac:dyDescent="0.25">
      <c r="A291" s="28">
        <v>45957</v>
      </c>
      <c r="B291" s="29">
        <v>4001.89990234375</v>
      </c>
      <c r="C291" s="21"/>
      <c r="D291" s="28">
        <v>45981</v>
      </c>
      <c r="E291" s="29">
        <v>3716.73</v>
      </c>
      <c r="F291" s="18">
        <f t="shared" si="8"/>
        <v>478209.60723072884</v>
      </c>
      <c r="G291" s="2">
        <f t="shared" si="9"/>
        <v>-3.4281557869023364E-2</v>
      </c>
    </row>
    <row r="292" spans="1:7" x14ac:dyDescent="0.25">
      <c r="A292" s="28">
        <v>45958</v>
      </c>
      <c r="B292" s="29">
        <v>3966.199951171875</v>
      </c>
      <c r="C292" s="21"/>
      <c r="D292" s="28">
        <v>45982</v>
      </c>
      <c r="E292" s="29">
        <v>3741.27</v>
      </c>
      <c r="F292" s="18">
        <f t="shared" si="8"/>
        <v>477072.86830778996</v>
      </c>
      <c r="G292" s="2">
        <f t="shared" si="9"/>
        <v>-2.379902256309257E-3</v>
      </c>
    </row>
    <row r="293" spans="1:7" x14ac:dyDescent="0.25">
      <c r="A293" s="28">
        <v>45959</v>
      </c>
      <c r="B293" s="29">
        <v>3983.699951171875</v>
      </c>
      <c r="C293" s="21"/>
      <c r="D293" s="28">
        <v>45983</v>
      </c>
      <c r="E293" s="29">
        <v>3808.77</v>
      </c>
      <c r="F293" s="18">
        <f t="shared" si="8"/>
        <v>487823.176829701</v>
      </c>
      <c r="G293" s="2">
        <f t="shared" si="9"/>
        <v>2.2283754659995544E-2</v>
      </c>
    </row>
    <row r="294" spans="1:7" x14ac:dyDescent="0.25">
      <c r="A294" s="28">
        <v>45960</v>
      </c>
      <c r="B294" s="29">
        <v>4001.300048828125</v>
      </c>
      <c r="C294" s="21"/>
      <c r="D294" s="28">
        <v>45986</v>
      </c>
      <c r="E294" s="29">
        <v>3804.09</v>
      </c>
      <c r="F294" s="18">
        <f t="shared" si="8"/>
        <v>489376.33566246787</v>
      </c>
      <c r="G294" s="2">
        <f t="shared" si="9"/>
        <v>3.1787984352625335E-3</v>
      </c>
    </row>
    <row r="295" spans="1:7" x14ac:dyDescent="0.25">
      <c r="A295" s="28">
        <v>45961</v>
      </c>
      <c r="B295" s="29">
        <v>3982.199951171875</v>
      </c>
      <c r="C295" s="21"/>
      <c r="D295" s="28">
        <v>45987</v>
      </c>
      <c r="E295" s="29">
        <v>3806.16</v>
      </c>
      <c r="F295" s="18">
        <f t="shared" si="8"/>
        <v>487305.33450049366</v>
      </c>
      <c r="G295" s="2">
        <f t="shared" si="9"/>
        <v>-4.2408992186364382E-3</v>
      </c>
    </row>
    <row r="296" spans="1:7" x14ac:dyDescent="0.25">
      <c r="A296" s="28">
        <v>45964</v>
      </c>
      <c r="B296" s="29">
        <v>4000.300048828125</v>
      </c>
      <c r="C296" s="21"/>
      <c r="D296" s="28">
        <v>45988</v>
      </c>
      <c r="E296" s="29">
        <v>3773.6</v>
      </c>
      <c r="F296" s="18">
        <f t="shared" si="8"/>
        <v>485332.63214669988</v>
      </c>
      <c r="G296" s="2">
        <f t="shared" si="9"/>
        <v>-4.056401510957975E-3</v>
      </c>
    </row>
    <row r="297" spans="1:7" x14ac:dyDescent="0.25">
      <c r="A297" s="28">
        <v>45965</v>
      </c>
      <c r="B297" s="29">
        <v>3947.699951171875</v>
      </c>
      <c r="C297" s="21"/>
      <c r="D297" s="28">
        <v>45990</v>
      </c>
      <c r="E297" s="29">
        <v>3744.43</v>
      </c>
      <c r="F297" s="18">
        <f t="shared" si="8"/>
        <v>475248.67471299873</v>
      </c>
      <c r="G297" s="2">
        <f t="shared" si="9"/>
        <v>-2.099630258035657E-2</v>
      </c>
    </row>
    <row r="298" spans="1:7" x14ac:dyDescent="0.25">
      <c r="A298" s="28">
        <v>45966</v>
      </c>
      <c r="B298" s="29">
        <v>3980.300048828125</v>
      </c>
      <c r="C298" s="21"/>
      <c r="D298" s="28">
        <v>45993</v>
      </c>
      <c r="E298" s="29">
        <v>3784.43</v>
      </c>
      <c r="F298" s="18">
        <f t="shared" si="8"/>
        <v>484292.0619660957</v>
      </c>
      <c r="G298" s="2">
        <f t="shared" si="9"/>
        <v>1.8849965783462607E-2</v>
      </c>
    </row>
    <row r="299" spans="1:7" x14ac:dyDescent="0.25">
      <c r="A299" s="28">
        <v>45967</v>
      </c>
      <c r="B299" s="29">
        <v>3979.89990234375</v>
      </c>
      <c r="C299" s="21"/>
      <c r="D299" s="28">
        <v>45994</v>
      </c>
      <c r="E299" s="29">
        <v>3817.66</v>
      </c>
      <c r="F299" s="18">
        <f t="shared" si="8"/>
        <v>488495.37814954628</v>
      </c>
      <c r="G299" s="2">
        <f t="shared" si="9"/>
        <v>8.6418515891121123E-3</v>
      </c>
    </row>
    <row r="300" spans="1:7" x14ac:dyDescent="0.25">
      <c r="A300" s="28">
        <v>45968</v>
      </c>
      <c r="B300" s="29">
        <v>3999.39990234375</v>
      </c>
      <c r="C300" s="21"/>
      <c r="D300" s="28">
        <v>45995</v>
      </c>
      <c r="E300" s="29">
        <v>3780.8</v>
      </c>
      <c r="F300" s="18">
        <f t="shared" si="8"/>
        <v>486149.22531044029</v>
      </c>
      <c r="G300" s="2">
        <f t="shared" si="9"/>
        <v>-4.8143853922333613E-3</v>
      </c>
    </row>
    <row r="301" spans="1:7" x14ac:dyDescent="0.25">
      <c r="A301" s="28">
        <v>45971</v>
      </c>
      <c r="B301" s="29">
        <v>4111.7998046875</v>
      </c>
      <c r="C301" s="21"/>
      <c r="D301" s="28">
        <v>45996</v>
      </c>
      <c r="E301" s="29">
        <v>3757.92</v>
      </c>
      <c r="F301" s="18">
        <f t="shared" si="8"/>
        <v>496787.37915342156</v>
      </c>
      <c r="G301" s="2">
        <f t="shared" si="9"/>
        <v>2.1646501281238701E-2</v>
      </c>
    </row>
    <row r="302" spans="1:7" x14ac:dyDescent="0.25">
      <c r="A302" s="28">
        <v>45972</v>
      </c>
      <c r="B302" s="29">
        <v>4106.7998046875</v>
      </c>
      <c r="C302" s="21"/>
      <c r="D302" s="28">
        <v>45997</v>
      </c>
      <c r="E302" s="29">
        <v>3830.02</v>
      </c>
      <c r="F302" s="18">
        <f t="shared" si="8"/>
        <v>505703.12409412762</v>
      </c>
      <c r="G302" s="2">
        <f t="shared" si="9"/>
        <v>1.7787659812603801E-2</v>
      </c>
    </row>
    <row r="303" spans="1:7" x14ac:dyDescent="0.25">
      <c r="A303" s="28">
        <v>45973</v>
      </c>
      <c r="B303" s="29">
        <v>4204.39990234375</v>
      </c>
      <c r="C303" s="21"/>
      <c r="D303" s="28">
        <v>46001</v>
      </c>
      <c r="E303" s="29">
        <v>3861.34</v>
      </c>
      <c r="F303" s="18">
        <f t="shared" si="8"/>
        <v>521955.07348927681</v>
      </c>
      <c r="G303" s="2">
        <f t="shared" si="9"/>
        <v>3.1631732237615659E-2</v>
      </c>
    </row>
    <row r="304" spans="1:7" x14ac:dyDescent="0.25">
      <c r="A304" s="28">
        <v>45974</v>
      </c>
      <c r="B304" s="29">
        <v>4186.89990234375</v>
      </c>
      <c r="C304" s="21"/>
      <c r="D304" s="28">
        <v>46002</v>
      </c>
      <c r="E304" s="29">
        <v>3854.28</v>
      </c>
      <c r="F304" s="18">
        <f t="shared" si="8"/>
        <v>518832.17620241956</v>
      </c>
      <c r="G304" s="2">
        <f t="shared" si="9"/>
        <v>-6.0010471107113158E-3</v>
      </c>
    </row>
    <row r="305" spans="1:7" x14ac:dyDescent="0.25">
      <c r="A305" s="28">
        <v>45975</v>
      </c>
      <c r="B305" s="29">
        <v>4087.60009765625</v>
      </c>
      <c r="C305" s="21"/>
      <c r="D305" s="28">
        <v>46003</v>
      </c>
      <c r="E305" s="29">
        <v>3810.99</v>
      </c>
      <c r="F305" s="18">
        <f t="shared" si="8"/>
        <v>500837.99944085319</v>
      </c>
      <c r="G305" s="2">
        <f t="shared" si="9"/>
        <v>-3.5297776570449899E-2</v>
      </c>
    </row>
    <row r="306" spans="1:7" x14ac:dyDescent="0.25">
      <c r="A306" s="28">
        <v>45978</v>
      </c>
      <c r="B306" s="29">
        <v>4068.300048828125</v>
      </c>
      <c r="C306" s="21"/>
      <c r="D306" s="28">
        <v>46004</v>
      </c>
      <c r="E306" s="29">
        <v>3788.53</v>
      </c>
      <c r="F306" s="18">
        <f t="shared" si="8"/>
        <v>495535.49537545006</v>
      </c>
      <c r="G306" s="2">
        <f t="shared" si="9"/>
        <v>-1.0643707710604374E-2</v>
      </c>
    </row>
    <row r="307" spans="1:7" x14ac:dyDescent="0.25">
      <c r="A307" s="28">
        <v>45979</v>
      </c>
      <c r="B307" s="29">
        <v>4061.300048828125</v>
      </c>
      <c r="C307" s="21"/>
      <c r="D307" s="28">
        <v>46007</v>
      </c>
      <c r="E307" s="29">
        <v>3817.59</v>
      </c>
      <c r="F307" s="18">
        <f t="shared" si="8"/>
        <v>498477.34235954488</v>
      </c>
      <c r="G307" s="2">
        <f t="shared" si="9"/>
        <v>5.9191500586421256E-3</v>
      </c>
    </row>
    <row r="308" spans="1:7" x14ac:dyDescent="0.25">
      <c r="A308" s="28">
        <v>45980</v>
      </c>
      <c r="B308" s="29">
        <v>4077.699951171875</v>
      </c>
      <c r="C308" s="21"/>
      <c r="D308" s="28">
        <v>46008</v>
      </c>
      <c r="E308" s="29">
        <v>3847.1</v>
      </c>
      <c r="F308" s="18">
        <f t="shared" si="8"/>
        <v>504359.03301181173</v>
      </c>
      <c r="G308" s="2">
        <f t="shared" si="9"/>
        <v>1.1730244812181453E-2</v>
      </c>
    </row>
    <row r="309" spans="1:7" x14ac:dyDescent="0.25">
      <c r="A309" s="28">
        <v>45981</v>
      </c>
      <c r="B309" s="29">
        <v>4056.5</v>
      </c>
      <c r="C309" s="21"/>
      <c r="D309" s="28">
        <v>46009</v>
      </c>
      <c r="E309" s="29">
        <v>3866.77</v>
      </c>
      <c r="F309" s="18">
        <f t="shared" si="8"/>
        <v>504302.22337716282</v>
      </c>
      <c r="G309" s="2">
        <f t="shared" si="9"/>
        <v>-1.126436340230673E-4</v>
      </c>
    </row>
    <row r="310" spans="1:7" x14ac:dyDescent="0.25">
      <c r="A310" s="28">
        <v>45982</v>
      </c>
      <c r="B310" s="29">
        <v>4076.699951171875</v>
      </c>
      <c r="C310" s="21"/>
      <c r="D310" s="28">
        <v>46010</v>
      </c>
      <c r="E310" s="29">
        <v>3874.71</v>
      </c>
      <c r="F310" s="18">
        <f t="shared" si="8"/>
        <v>507854.15950043168</v>
      </c>
      <c r="G310" s="2">
        <f t="shared" si="9"/>
        <v>7.018580852096468E-3</v>
      </c>
    </row>
    <row r="311" spans="1:7" x14ac:dyDescent="0.25">
      <c r="A311" s="28">
        <v>45985</v>
      </c>
      <c r="B311" s="29">
        <v>4091.89990234375</v>
      </c>
      <c r="C311" s="21"/>
      <c r="D311" s="28">
        <v>46011</v>
      </c>
      <c r="E311" s="29">
        <v>3817.93</v>
      </c>
      <c r="F311" s="18">
        <f t="shared" si="8"/>
        <v>502277.84805572842</v>
      </c>
      <c r="G311" s="2">
        <f t="shared" si="9"/>
        <v>-1.1040870003686499E-2</v>
      </c>
    </row>
    <row r="312" spans="1:7" x14ac:dyDescent="0.25">
      <c r="A312" s="28">
        <v>45986</v>
      </c>
      <c r="B312" s="29">
        <v>4139.2001953125</v>
      </c>
      <c r="C312" s="21"/>
      <c r="D312" s="28">
        <v>46014</v>
      </c>
      <c r="E312" s="29">
        <v>3792.59</v>
      </c>
      <c r="F312" s="18">
        <f t="shared" si="8"/>
        <v>504711.71984027955</v>
      </c>
      <c r="G312" s="2">
        <f t="shared" si="9"/>
        <v>4.8339657163221049E-3</v>
      </c>
    </row>
    <row r="313" spans="1:7" x14ac:dyDescent="0.25">
      <c r="A313" s="28">
        <v>45987</v>
      </c>
      <c r="B313" s="29">
        <v>4165.2001953125</v>
      </c>
      <c r="C313" s="21"/>
      <c r="D313" s="28">
        <v>46015</v>
      </c>
      <c r="E313" s="29">
        <v>3759.48</v>
      </c>
      <c r="F313" s="18">
        <f t="shared" si="8"/>
        <v>503448.11710160447</v>
      </c>
      <c r="G313" s="2">
        <f t="shared" si="9"/>
        <v>-2.5067521122328685E-3</v>
      </c>
    </row>
    <row r="314" spans="1:7" x14ac:dyDescent="0.25">
      <c r="A314" s="28">
        <v>45989</v>
      </c>
      <c r="B314" s="29">
        <v>4218.2998046875</v>
      </c>
      <c r="C314" s="21"/>
      <c r="D314" s="28">
        <v>46016</v>
      </c>
      <c r="E314" s="29">
        <v>3706.94</v>
      </c>
      <c r="F314" s="18">
        <f t="shared" si="8"/>
        <v>502740.71861922141</v>
      </c>
      <c r="G314" s="2">
        <f t="shared" si="9"/>
        <v>-1.4060951062457373E-3</v>
      </c>
    </row>
    <row r="315" spans="1:7" x14ac:dyDescent="0.25">
      <c r="A315" s="28">
        <v>45992</v>
      </c>
      <c r="B315" s="29">
        <v>4239.2998046875</v>
      </c>
      <c r="C315" s="21"/>
      <c r="D315" s="28">
        <v>46018</v>
      </c>
      <c r="E315" s="29">
        <v>3716.05</v>
      </c>
      <c r="F315" s="18">
        <f t="shared" si="8"/>
        <v>506485.17979215062</v>
      </c>
      <c r="G315" s="2">
        <f t="shared" si="9"/>
        <v>7.4204959678840525E-3</v>
      </c>
    </row>
    <row r="316" spans="1:7" x14ac:dyDescent="0.25">
      <c r="A316" s="28">
        <v>45993</v>
      </c>
      <c r="B316" s="29">
        <v>4186.60009765625</v>
      </c>
      <c r="C316" s="21"/>
      <c r="D316" s="28">
        <v>46021</v>
      </c>
      <c r="E316" s="29">
        <v>3706.97</v>
      </c>
      <c r="F316" s="18">
        <f t="shared" si="8"/>
        <v>498966.75744008104</v>
      </c>
      <c r="G316" s="2">
        <f t="shared" si="9"/>
        <v>-1.4955588049547943E-2</v>
      </c>
    </row>
    <row r="317" spans="1:7" x14ac:dyDescent="0.25">
      <c r="A317" s="28">
        <v>45994</v>
      </c>
      <c r="B317" s="29">
        <v>4199.2998046875</v>
      </c>
      <c r="C317" s="21"/>
      <c r="D317" s="28">
        <v>46022</v>
      </c>
      <c r="E317" s="29">
        <v>3757.08</v>
      </c>
      <c r="F317" s="18">
        <f t="shared" si="8"/>
        <v>507245.71441464423</v>
      </c>
      <c r="G317" s="2">
        <f t="shared" si="9"/>
        <v>1.6456054829299512E-2</v>
      </c>
    </row>
    <row r="318" spans="1:7" x14ac:dyDescent="0.25">
      <c r="A318" s="28">
        <v>45995</v>
      </c>
      <c r="B318" s="29">
        <v>4211.7998046875</v>
      </c>
      <c r="C318" s="21"/>
      <c r="D318" s="28">
        <v>46025</v>
      </c>
      <c r="E318" s="29">
        <v>3790.77</v>
      </c>
      <c r="F318" s="18">
        <f t="shared" si="8"/>
        <v>513317.6733996257</v>
      </c>
      <c r="G318" s="2">
        <f t="shared" si="9"/>
        <v>1.1899369904705217E-2</v>
      </c>
    </row>
    <row r="319" spans="1:7" x14ac:dyDescent="0.25">
      <c r="A319" s="28">
        <v>45996</v>
      </c>
      <c r="B319" s="29">
        <v>4212.89990234375</v>
      </c>
      <c r="C319" s="21"/>
      <c r="D319" s="28">
        <v>46028</v>
      </c>
      <c r="E319" s="29">
        <v>3770.03</v>
      </c>
      <c r="F319" s="18">
        <f t="shared" si="8"/>
        <v>510642.56002509053</v>
      </c>
      <c r="G319" s="2">
        <f t="shared" si="9"/>
        <v>-5.2250456088782597E-3</v>
      </c>
    </row>
    <row r="320" spans="1:7" x14ac:dyDescent="0.25">
      <c r="A320" s="28">
        <v>45999</v>
      </c>
      <c r="B320" s="29">
        <v>4187.2001953125</v>
      </c>
      <c r="C320" s="21"/>
      <c r="D320" s="28">
        <v>46029</v>
      </c>
      <c r="E320" s="29">
        <v>3730.26</v>
      </c>
      <c r="F320" s="18">
        <f t="shared" si="8"/>
        <v>502173.61554147565</v>
      </c>
      <c r="G320" s="2">
        <f t="shared" si="9"/>
        <v>-1.6723946708608668E-2</v>
      </c>
    </row>
    <row r="321" spans="1:7" x14ac:dyDescent="0.25">
      <c r="A321" s="28">
        <v>46000</v>
      </c>
      <c r="B321" s="29">
        <v>4206.7001953125</v>
      </c>
      <c r="C321" s="21"/>
      <c r="D321" s="28">
        <v>46030</v>
      </c>
      <c r="E321" s="29">
        <v>3748.83</v>
      </c>
      <c r="F321" s="18">
        <f t="shared" si="8"/>
        <v>507023.82870565</v>
      </c>
      <c r="G321" s="2">
        <f t="shared" si="9"/>
        <v>9.6120943137889079E-3</v>
      </c>
    </row>
    <row r="322" spans="1:7" x14ac:dyDescent="0.25">
      <c r="A322" s="28">
        <v>46001</v>
      </c>
      <c r="B322" s="29">
        <v>4196.39990234375</v>
      </c>
      <c r="C322" s="21"/>
      <c r="D322" s="28">
        <v>46031</v>
      </c>
      <c r="E322" s="29">
        <v>3734.67</v>
      </c>
      <c r="F322" s="18">
        <f t="shared" si="8"/>
        <v>503871.92801822507</v>
      </c>
      <c r="G322" s="2">
        <f t="shared" si="9"/>
        <v>-6.2358772014444279E-3</v>
      </c>
    </row>
    <row r="323" spans="1:7" x14ac:dyDescent="0.25">
      <c r="A323" s="28">
        <v>46002</v>
      </c>
      <c r="B323" s="29">
        <v>4285.5</v>
      </c>
      <c r="C323" s="21"/>
      <c r="D323" s="28">
        <v>46032</v>
      </c>
      <c r="E323" s="29">
        <v>3717.09</v>
      </c>
      <c r="F323" s="18">
        <f t="shared" ref="F323:F386" si="10">(B323*E323)/$J$2</f>
        <v>512148.18515079963</v>
      </c>
      <c r="G323" s="2">
        <f t="shared" ref="G323:G386" si="11">LN(F323/F322)</f>
        <v>1.6291882582352885E-2</v>
      </c>
    </row>
    <row r="324" spans="1:7" x14ac:dyDescent="0.25">
      <c r="A324" s="28">
        <v>46003</v>
      </c>
      <c r="B324" s="29">
        <v>4300.10009765625</v>
      </c>
      <c r="C324" s="21"/>
      <c r="D324" s="28">
        <v>46036</v>
      </c>
      <c r="E324" s="29">
        <v>3663.24</v>
      </c>
      <c r="F324" s="18">
        <f t="shared" si="10"/>
        <v>506448.16278990009</v>
      </c>
      <c r="G324" s="2">
        <f t="shared" si="11"/>
        <v>-1.1192032784707321E-2</v>
      </c>
    </row>
    <row r="325" spans="1:7" x14ac:dyDescent="0.25">
      <c r="A325" s="28">
        <v>46006</v>
      </c>
      <c r="B325" s="29">
        <v>4306.7001953125</v>
      </c>
      <c r="C325" s="21"/>
      <c r="D325" s="28">
        <v>46037</v>
      </c>
      <c r="E325" s="29">
        <v>3655.16</v>
      </c>
      <c r="F325" s="18">
        <f t="shared" si="10"/>
        <v>506106.70913479477</v>
      </c>
      <c r="G325" s="2">
        <f t="shared" si="11"/>
        <v>-6.7443983040513494E-4</v>
      </c>
    </row>
    <row r="326" spans="1:7" x14ac:dyDescent="0.25">
      <c r="A326" s="28">
        <v>46007</v>
      </c>
      <c r="B326" s="29">
        <v>4304.5</v>
      </c>
      <c r="C326" s="21"/>
      <c r="D326" s="28">
        <v>46038</v>
      </c>
      <c r="E326" s="29">
        <v>3687.32</v>
      </c>
      <c r="F326" s="18">
        <f t="shared" si="10"/>
        <v>510298.86600973178</v>
      </c>
      <c r="G326" s="2">
        <f t="shared" si="11"/>
        <v>8.2490311923359948E-3</v>
      </c>
    </row>
    <row r="327" spans="1:7" x14ac:dyDescent="0.25">
      <c r="A327" s="28">
        <v>46008</v>
      </c>
      <c r="B327" s="29">
        <v>4347.5</v>
      </c>
      <c r="C327" s="21"/>
      <c r="D327" s="28">
        <v>46039</v>
      </c>
      <c r="E327" s="29">
        <v>3700.05</v>
      </c>
      <c r="F327" s="18">
        <f t="shared" si="10"/>
        <v>517175.8603848429</v>
      </c>
      <c r="G327" s="2">
        <f t="shared" si="11"/>
        <v>1.3386406287618745E-2</v>
      </c>
    </row>
    <row r="328" spans="1:7" x14ac:dyDescent="0.25">
      <c r="A328" s="28">
        <v>46009</v>
      </c>
      <c r="B328" s="29">
        <v>4339.5</v>
      </c>
      <c r="C328" s="21"/>
      <c r="D328" s="28">
        <v>46043</v>
      </c>
      <c r="E328" s="29">
        <v>3682.97</v>
      </c>
      <c r="F328" s="18">
        <f t="shared" si="10"/>
        <v>513841.21517244657</v>
      </c>
      <c r="G328" s="2">
        <f t="shared" si="11"/>
        <v>-6.4686743203034988E-3</v>
      </c>
    </row>
    <row r="329" spans="1:7" x14ac:dyDescent="0.25">
      <c r="A329" s="28">
        <v>46010</v>
      </c>
      <c r="B329" s="29">
        <v>4361.39990234375</v>
      </c>
      <c r="C329" s="21"/>
      <c r="D329" s="28">
        <v>46044</v>
      </c>
      <c r="E329" s="29">
        <v>3669.15</v>
      </c>
      <c r="F329" s="18">
        <f t="shared" si="10"/>
        <v>514496.51608351932</v>
      </c>
      <c r="G329" s="2">
        <f t="shared" si="11"/>
        <v>1.2744859589537199E-3</v>
      </c>
    </row>
    <row r="330" spans="1:7" x14ac:dyDescent="0.25">
      <c r="A330" s="28">
        <v>46013</v>
      </c>
      <c r="B330" s="29">
        <v>4444.60009765625</v>
      </c>
      <c r="C330" s="21"/>
      <c r="D330" s="28">
        <v>46045</v>
      </c>
      <c r="E330" s="29">
        <v>3630.33</v>
      </c>
      <c r="F330" s="18">
        <f t="shared" si="10"/>
        <v>518764.03323902405</v>
      </c>
      <c r="G330" s="2">
        <f t="shared" si="11"/>
        <v>8.2603394154689546E-3</v>
      </c>
    </row>
    <row r="331" spans="1:7" x14ac:dyDescent="0.25">
      <c r="A331" s="28">
        <v>46014</v>
      </c>
      <c r="B331" s="29">
        <v>4482.7998046875</v>
      </c>
      <c r="C331" s="21"/>
      <c r="D331" s="28">
        <v>46046</v>
      </c>
      <c r="E331" s="29">
        <v>3637.88</v>
      </c>
      <c r="F331" s="18">
        <f t="shared" si="10"/>
        <v>524310.76623165689</v>
      </c>
      <c r="G331" s="2">
        <f t="shared" si="11"/>
        <v>1.0635450648848669E-2</v>
      </c>
    </row>
    <row r="332" spans="1:7" x14ac:dyDescent="0.25">
      <c r="A332" s="28">
        <v>46015</v>
      </c>
      <c r="B332" s="29">
        <v>4480.60009765625</v>
      </c>
      <c r="C332" s="21"/>
      <c r="D332" s="28">
        <v>46049</v>
      </c>
      <c r="E332" s="29">
        <v>3676.02</v>
      </c>
      <c r="F332" s="18">
        <f t="shared" si="10"/>
        <v>529547.73117153032</v>
      </c>
      <c r="G332" s="2">
        <f t="shared" si="11"/>
        <v>9.938730979437805E-3</v>
      </c>
    </row>
    <row r="333" spans="1:7" x14ac:dyDescent="0.25">
      <c r="A333" s="28">
        <v>46017</v>
      </c>
      <c r="B333" s="29">
        <v>4529.10009765625</v>
      </c>
      <c r="C333" s="21"/>
      <c r="D333" s="28">
        <v>46050</v>
      </c>
      <c r="E333" s="29">
        <v>3678.59</v>
      </c>
      <c r="F333" s="18">
        <f t="shared" si="10"/>
        <v>535654.0182105077</v>
      </c>
      <c r="G333" s="2">
        <f t="shared" si="11"/>
        <v>1.1465159405902838E-2</v>
      </c>
    </row>
    <row r="334" spans="1:7" x14ac:dyDescent="0.25">
      <c r="A334" s="28">
        <v>46020</v>
      </c>
      <c r="B334" s="29">
        <v>4325.10009765625</v>
      </c>
      <c r="C334" s="21"/>
      <c r="D334" s="28">
        <v>46051</v>
      </c>
      <c r="E334" s="29">
        <v>3665.97</v>
      </c>
      <c r="F334" s="18">
        <f t="shared" si="10"/>
        <v>509772.18099954928</v>
      </c>
      <c r="G334" s="2">
        <f t="shared" si="11"/>
        <v>-4.9524542246232588E-2</v>
      </c>
    </row>
    <row r="335" spans="1:7" x14ac:dyDescent="0.25">
      <c r="A335" s="28">
        <v>46021</v>
      </c>
      <c r="B335" s="29">
        <v>4370.10009765625</v>
      </c>
      <c r="C335" s="21"/>
      <c r="D335" s="28">
        <v>46052</v>
      </c>
      <c r="E335" s="29">
        <v>3661.29</v>
      </c>
      <c r="F335" s="18">
        <f t="shared" si="10"/>
        <v>514418.49698770174</v>
      </c>
      <c r="G335" s="2">
        <f t="shared" si="11"/>
        <v>9.0732086571490966E-3</v>
      </c>
    </row>
    <row r="336" spans="1:7" x14ac:dyDescent="0.25">
      <c r="A336" s="28">
        <v>46022</v>
      </c>
      <c r="B336" s="29">
        <v>4325.60009765625</v>
      </c>
      <c r="C336" s="21"/>
      <c r="D336" s="28">
        <v>46053</v>
      </c>
      <c r="E336" s="29">
        <v>3670.47</v>
      </c>
      <c r="F336" s="18">
        <f t="shared" si="10"/>
        <v>510456.9335619848</v>
      </c>
      <c r="G336" s="2">
        <f t="shared" si="11"/>
        <v>-7.7308578940042299E-3</v>
      </c>
    </row>
    <row r="337" spans="1:7" x14ac:dyDescent="0.25">
      <c r="A337" s="28">
        <v>46024</v>
      </c>
      <c r="B337" s="29">
        <v>4314.39990234375</v>
      </c>
      <c r="C337" s="21"/>
      <c r="D337" s="28">
        <v>46056</v>
      </c>
      <c r="E337" s="29">
        <v>3628.16</v>
      </c>
      <c r="F337" s="18">
        <f t="shared" si="10"/>
        <v>503266.34704990598</v>
      </c>
      <c r="G337" s="2">
        <f t="shared" si="11"/>
        <v>-1.4186725804235238E-2</v>
      </c>
    </row>
    <row r="338" spans="1:7" x14ac:dyDescent="0.25">
      <c r="A338" s="28">
        <v>46027</v>
      </c>
      <c r="B338" s="29">
        <v>4436.89990234375</v>
      </c>
      <c r="C338" s="21"/>
      <c r="D338" s="28">
        <v>46057</v>
      </c>
      <c r="E338" s="29">
        <v>3622</v>
      </c>
      <c r="F338" s="18">
        <f t="shared" si="10"/>
        <v>516677.01169308065</v>
      </c>
      <c r="G338" s="2">
        <f t="shared" si="11"/>
        <v>2.6298396723592247E-2</v>
      </c>
    </row>
    <row r="339" spans="1:7" x14ac:dyDescent="0.25">
      <c r="A339" s="28">
        <v>46028</v>
      </c>
      <c r="B339" s="29">
        <v>4482.2001953125</v>
      </c>
      <c r="C339" s="21"/>
      <c r="D339" s="28">
        <v>46058</v>
      </c>
      <c r="E339" s="29">
        <v>3644.93</v>
      </c>
      <c r="F339" s="18">
        <f t="shared" si="10"/>
        <v>525256.58346659143</v>
      </c>
      <c r="G339" s="2">
        <f t="shared" si="11"/>
        <v>1.6468929937867319E-2</v>
      </c>
    </row>
    <row r="340" spans="1:7" x14ac:dyDescent="0.25">
      <c r="A340" s="28">
        <v>46029</v>
      </c>
      <c r="B340" s="29">
        <v>4449.2998046875</v>
      </c>
      <c r="C340" s="21"/>
      <c r="D340" s="28">
        <v>46059</v>
      </c>
      <c r="E340" s="29">
        <v>3691.75</v>
      </c>
      <c r="F340" s="18">
        <f t="shared" si="10"/>
        <v>528098.60002387513</v>
      </c>
      <c r="G340" s="2">
        <f t="shared" si="11"/>
        <v>5.3961351271486378E-3</v>
      </c>
    </row>
    <row r="341" spans="1:7" x14ac:dyDescent="0.25">
      <c r="A341" s="28">
        <v>46030</v>
      </c>
      <c r="B341" s="29">
        <v>4449.7001953125</v>
      </c>
      <c r="C341" s="21"/>
      <c r="D341" s="28">
        <v>46060</v>
      </c>
      <c r="E341" s="29">
        <v>3670.2</v>
      </c>
      <c r="F341" s="18">
        <f t="shared" si="10"/>
        <v>525063.15489578759</v>
      </c>
      <c r="G341" s="2">
        <f t="shared" si="11"/>
        <v>-5.7644583451663236E-3</v>
      </c>
    </row>
    <row r="342" spans="1:7" x14ac:dyDescent="0.25">
      <c r="A342" s="28">
        <v>46031</v>
      </c>
      <c r="B342" s="29">
        <v>4490.2998046875</v>
      </c>
      <c r="C342" s="21"/>
      <c r="D342" s="28">
        <v>46063</v>
      </c>
      <c r="E342" s="29">
        <v>3651.9</v>
      </c>
      <c r="F342" s="18">
        <f t="shared" si="10"/>
        <v>527211.98862045805</v>
      </c>
      <c r="G342" s="2">
        <f t="shared" si="11"/>
        <v>4.0841727087682269E-3</v>
      </c>
    </row>
    <row r="343" spans="1:7" x14ac:dyDescent="0.25">
      <c r="A343" s="28">
        <v>46034</v>
      </c>
      <c r="B343" s="29">
        <v>4604.2998046875</v>
      </c>
      <c r="C343" s="21"/>
      <c r="D343" s="28">
        <v>46064</v>
      </c>
      <c r="E343" s="29">
        <v>3659.71</v>
      </c>
      <c r="F343" s="18">
        <f t="shared" si="10"/>
        <v>541753.00551007502</v>
      </c>
      <c r="G343" s="2">
        <f t="shared" si="11"/>
        <v>2.720746507644033E-2</v>
      </c>
    </row>
    <row r="344" spans="1:7" x14ac:dyDescent="0.25">
      <c r="A344" s="28">
        <v>46035</v>
      </c>
      <c r="B344" s="29">
        <v>4589.2001953125</v>
      </c>
      <c r="C344" s="21"/>
      <c r="D344" s="28">
        <v>46065</v>
      </c>
      <c r="E344" s="29">
        <v>3671.01</v>
      </c>
      <c r="F344" s="18">
        <f t="shared" si="10"/>
        <v>541643.62130069465</v>
      </c>
      <c r="G344" s="2">
        <f t="shared" si="11"/>
        <v>-2.0192828193320742E-4</v>
      </c>
    </row>
    <row r="345" spans="1:7" x14ac:dyDescent="0.25">
      <c r="A345" s="28">
        <v>46036</v>
      </c>
      <c r="B345" s="29">
        <v>4626.2998046875</v>
      </c>
      <c r="C345" s="21"/>
      <c r="D345" s="28">
        <v>46066</v>
      </c>
      <c r="E345" s="29">
        <v>3665.78</v>
      </c>
      <c r="F345" s="18">
        <f t="shared" si="10"/>
        <v>545244.42418692389</v>
      </c>
      <c r="G345" s="2">
        <f t="shared" si="11"/>
        <v>6.6259189710420729E-3</v>
      </c>
    </row>
    <row r="346" spans="1:7" x14ac:dyDescent="0.25">
      <c r="A346" s="28">
        <v>46037</v>
      </c>
      <c r="B346" s="29">
        <v>4616.2998046875</v>
      </c>
      <c r="C346" s="21"/>
      <c r="D346" s="28">
        <v>46067</v>
      </c>
      <c r="E346" s="29">
        <v>3652.89</v>
      </c>
      <c r="F346" s="18">
        <f t="shared" si="10"/>
        <v>542152.74716635281</v>
      </c>
      <c r="G346" s="2">
        <f t="shared" si="11"/>
        <v>-5.6863957950624077E-3</v>
      </c>
    </row>
    <row r="347" spans="1:7" x14ac:dyDescent="0.25">
      <c r="A347" s="28">
        <v>46038</v>
      </c>
      <c r="B347" s="29">
        <v>4588.39990234375</v>
      </c>
      <c r="C347" s="21"/>
      <c r="D347" s="28">
        <v>46071</v>
      </c>
      <c r="E347" s="29">
        <v>3664.26</v>
      </c>
      <c r="F347" s="18">
        <f t="shared" si="10"/>
        <v>540553.40289681405</v>
      </c>
      <c r="G347" s="2">
        <f t="shared" si="11"/>
        <v>-2.954348107701676E-3</v>
      </c>
    </row>
    <row r="348" spans="1:7" x14ac:dyDescent="0.25">
      <c r="A348" s="28">
        <v>46042</v>
      </c>
      <c r="B348" s="29">
        <v>4759.60009765625</v>
      </c>
      <c r="C348" s="21"/>
      <c r="D348" s="28">
        <v>46072</v>
      </c>
      <c r="E348" s="29">
        <v>3669.21</v>
      </c>
      <c r="F348" s="18">
        <f t="shared" si="10"/>
        <v>561479.74667324929</v>
      </c>
      <c r="G348" s="2">
        <f t="shared" si="11"/>
        <v>3.7982268521316975E-2</v>
      </c>
    </row>
    <row r="349" spans="1:7" x14ac:dyDescent="0.25">
      <c r="A349" s="28">
        <v>46043</v>
      </c>
      <c r="B349" s="29">
        <v>4831.7998046875</v>
      </c>
      <c r="C349" s="21"/>
      <c r="D349" s="28">
        <v>46073</v>
      </c>
      <c r="E349" s="29">
        <v>3695.72</v>
      </c>
      <c r="F349" s="18">
        <f t="shared" si="10"/>
        <v>574115.21191031893</v>
      </c>
      <c r="G349" s="2">
        <f t="shared" si="11"/>
        <v>2.2254390303055718E-2</v>
      </c>
    </row>
    <row r="350" spans="1:7" x14ac:dyDescent="0.25">
      <c r="A350" s="28">
        <v>46044</v>
      </c>
      <c r="B350" s="29">
        <v>4908.7998046875</v>
      </c>
      <c r="C350" s="21"/>
      <c r="D350" s="28">
        <v>46074</v>
      </c>
      <c r="E350" s="29">
        <v>3691.34</v>
      </c>
      <c r="F350" s="18">
        <f t="shared" si="10"/>
        <v>582573.10549395427</v>
      </c>
      <c r="G350" s="2">
        <f t="shared" si="11"/>
        <v>1.4624586766649406E-2</v>
      </c>
    </row>
    <row r="351" spans="1:7" x14ac:dyDescent="0.25">
      <c r="A351" s="28">
        <v>46045</v>
      </c>
      <c r="B351" s="29">
        <v>4976.2001953125</v>
      </c>
      <c r="C351" s="21"/>
      <c r="D351" s="28">
        <v>46077</v>
      </c>
      <c r="E351" s="29">
        <v>3697.36</v>
      </c>
      <c r="F351" s="18">
        <f t="shared" si="10"/>
        <v>591535.27023514709</v>
      </c>
      <c r="G351" s="2">
        <f t="shared" si="11"/>
        <v>1.5266629543595863E-2</v>
      </c>
    </row>
    <row r="352" spans="1:7" x14ac:dyDescent="0.25">
      <c r="A352" s="28">
        <v>46048</v>
      </c>
      <c r="B352" s="29">
        <v>5079.7001953125</v>
      </c>
      <c r="C352" s="21"/>
      <c r="D352" s="28">
        <v>46078</v>
      </c>
      <c r="E352" s="29">
        <v>3703.28</v>
      </c>
      <c r="F352" s="18">
        <f t="shared" si="10"/>
        <v>604805.44539306534</v>
      </c>
      <c r="G352" s="2">
        <f t="shared" si="11"/>
        <v>2.2185518348368384E-2</v>
      </c>
    </row>
    <row r="353" spans="1:7" x14ac:dyDescent="0.25">
      <c r="A353" s="28">
        <v>46049</v>
      </c>
      <c r="B353" s="29">
        <v>5079.89990234375</v>
      </c>
      <c r="C353" s="21"/>
      <c r="D353" s="28">
        <v>46079</v>
      </c>
      <c r="E353" s="29">
        <v>3703.69</v>
      </c>
      <c r="F353" s="18">
        <f t="shared" si="10"/>
        <v>604896.18541009934</v>
      </c>
      <c r="G353" s="2">
        <f t="shared" si="11"/>
        <v>1.5002049248121732E-4</v>
      </c>
    </row>
    <row r="354" spans="1:7" x14ac:dyDescent="0.25">
      <c r="A354" s="28">
        <v>46050</v>
      </c>
      <c r="B354" s="29">
        <v>5301.60009765625</v>
      </c>
      <c r="C354" s="21"/>
      <c r="D354" s="28">
        <v>46080</v>
      </c>
      <c r="E354" s="29">
        <v>3745.78</v>
      </c>
      <c r="F354" s="18">
        <f t="shared" si="10"/>
        <v>638469.70361200359</v>
      </c>
      <c r="G354" s="2">
        <f t="shared" si="11"/>
        <v>5.4017376087889611E-2</v>
      </c>
    </row>
    <row r="355" spans="1:7" x14ac:dyDescent="0.25">
      <c r="A355" s="28">
        <v>46051</v>
      </c>
      <c r="B355" s="29">
        <v>5318.39990234375</v>
      </c>
      <c r="C355" s="21"/>
      <c r="D355" s="28">
        <v>46081</v>
      </c>
      <c r="E355" s="29">
        <v>3766.3</v>
      </c>
      <c r="F355" s="18">
        <f t="shared" si="10"/>
        <v>644001.62338755862</v>
      </c>
      <c r="G355" s="2">
        <f t="shared" si="11"/>
        <v>8.6270218580491009E-3</v>
      </c>
    </row>
    <row r="356" spans="1:7" x14ac:dyDescent="0.25">
      <c r="A356" s="28">
        <v>46052</v>
      </c>
      <c r="B356" s="29">
        <v>4713.89990234375</v>
      </c>
      <c r="C356" s="21"/>
      <c r="D356" s="28">
        <v>46084</v>
      </c>
      <c r="E356" s="29">
        <v>3768.73</v>
      </c>
      <c r="F356" s="18">
        <f t="shared" si="10"/>
        <v>571171.38682579575</v>
      </c>
      <c r="G356" s="2">
        <f t="shared" si="11"/>
        <v>-0.12001193021073145</v>
      </c>
    </row>
    <row r="357" spans="1:7" x14ac:dyDescent="0.25">
      <c r="A357" s="28">
        <v>46055</v>
      </c>
      <c r="B357" s="29">
        <v>4622.5</v>
      </c>
      <c r="C357" s="21"/>
      <c r="D357" s="28">
        <v>46085</v>
      </c>
      <c r="E357" s="29">
        <v>3797.64</v>
      </c>
      <c r="F357" s="18">
        <f t="shared" si="10"/>
        <v>564393.20314184297</v>
      </c>
      <c r="G357" s="2">
        <f t="shared" si="11"/>
        <v>-1.1938139398509146E-2</v>
      </c>
    </row>
    <row r="358" spans="1:7" x14ac:dyDescent="0.25">
      <c r="A358" s="28">
        <v>46056</v>
      </c>
      <c r="B358" s="29">
        <v>4903.7001953125</v>
      </c>
      <c r="C358" s="21"/>
      <c r="D358" s="28">
        <v>46086</v>
      </c>
      <c r="E358" s="29">
        <v>3751.41</v>
      </c>
      <c r="F358" s="18">
        <f t="shared" si="10"/>
        <v>591438.38060243044</v>
      </c>
      <c r="G358" s="2">
        <f t="shared" si="11"/>
        <v>4.6806325906102397E-2</v>
      </c>
    </row>
    <row r="359" spans="1:7" x14ac:dyDescent="0.25">
      <c r="A359" s="28">
        <v>46057</v>
      </c>
      <c r="B359" s="29">
        <v>4920.39990234375</v>
      </c>
      <c r="C359" s="21"/>
      <c r="D359" s="28">
        <v>46087</v>
      </c>
      <c r="E359" s="29">
        <v>3767.94</v>
      </c>
      <c r="F359" s="18">
        <f t="shared" si="10"/>
        <v>596067.49841024564</v>
      </c>
      <c r="G359" s="2">
        <f t="shared" si="11"/>
        <v>7.7964098327957514E-3</v>
      </c>
    </row>
    <row r="360" spans="1:7" x14ac:dyDescent="0.25">
      <c r="A360" s="28">
        <v>46058</v>
      </c>
      <c r="B360" s="29">
        <v>4861.39990234375</v>
      </c>
      <c r="C360" s="21"/>
      <c r="D360" s="28">
        <v>46088</v>
      </c>
      <c r="E360" s="29">
        <v>3795.55</v>
      </c>
      <c r="F360" s="18">
        <f t="shared" si="10"/>
        <v>593235.49318900646</v>
      </c>
      <c r="G360" s="2">
        <f t="shared" si="11"/>
        <v>-4.7624711179541654E-3</v>
      </c>
    </row>
    <row r="361" spans="1:7" x14ac:dyDescent="0.25">
      <c r="A361" s="28">
        <v>46059</v>
      </c>
      <c r="B361" s="29">
        <v>4951.2001953125</v>
      </c>
      <c r="C361" s="21"/>
      <c r="D361" s="28">
        <v>46091</v>
      </c>
      <c r="E361" s="29">
        <v>3744.84</v>
      </c>
      <c r="F361" s="18">
        <f t="shared" si="10"/>
        <v>596121.54160894523</v>
      </c>
      <c r="G361" s="2">
        <f t="shared" si="11"/>
        <v>4.8531332477380288E-3</v>
      </c>
    </row>
    <row r="362" spans="1:7" x14ac:dyDescent="0.25">
      <c r="A362" s="28">
        <v>46062</v>
      </c>
      <c r="B362" s="29">
        <v>5050.89990234375</v>
      </c>
      <c r="C362" s="21"/>
      <c r="D362" s="28">
        <v>46092</v>
      </c>
      <c r="E362" s="29">
        <v>3710.5</v>
      </c>
      <c r="F362" s="18">
        <f t="shared" si="10"/>
        <v>602548.84713230783</v>
      </c>
      <c r="G362" s="2">
        <f t="shared" si="11"/>
        <v>1.0724161008251083E-2</v>
      </c>
    </row>
    <row r="363" spans="1:7" x14ac:dyDescent="0.25">
      <c r="A363" s="28">
        <v>46063</v>
      </c>
      <c r="B363" s="29">
        <v>5003.7998046875</v>
      </c>
      <c r="C363" s="21"/>
      <c r="D363" s="28">
        <v>46093</v>
      </c>
      <c r="E363" s="29">
        <v>3687.87</v>
      </c>
      <c r="F363" s="18">
        <f t="shared" si="10"/>
        <v>593289.40312270459</v>
      </c>
      <c r="G363" s="2">
        <f t="shared" si="11"/>
        <v>-1.5486423960890108E-2</v>
      </c>
    </row>
    <row r="364" spans="1:7" x14ac:dyDescent="0.25">
      <c r="A364" s="28">
        <v>46064</v>
      </c>
      <c r="B364" s="29">
        <v>5071.60009765625</v>
      </c>
      <c r="C364" s="21"/>
      <c r="D364" s="28">
        <v>46094</v>
      </c>
      <c r="E364" s="29">
        <v>3700.46</v>
      </c>
      <c r="F364" s="18">
        <f t="shared" si="10"/>
        <v>603381.20455308864</v>
      </c>
      <c r="G364" s="2">
        <f t="shared" si="11"/>
        <v>1.6866864811164905E-2</v>
      </c>
    </row>
    <row r="365" spans="1:7" x14ac:dyDescent="0.25">
      <c r="A365" s="28">
        <v>46065</v>
      </c>
      <c r="B365" s="29">
        <v>4923.7001953125</v>
      </c>
      <c r="C365" s="21"/>
      <c r="D365" s="28">
        <v>46095</v>
      </c>
      <c r="E365" s="29">
        <v>3685.53</v>
      </c>
      <c r="F365" s="18">
        <f t="shared" si="10"/>
        <v>583421.74727006978</v>
      </c>
      <c r="G365" s="2">
        <f t="shared" si="11"/>
        <v>-3.3638843494216746E-2</v>
      </c>
    </row>
    <row r="366" spans="1:7" x14ac:dyDescent="0.25">
      <c r="A366" s="28">
        <v>46066</v>
      </c>
      <c r="B366" s="29">
        <v>5022</v>
      </c>
      <c r="C366" s="21"/>
      <c r="D366" s="28">
        <v>46098</v>
      </c>
      <c r="E366" s="29">
        <v>3691.9</v>
      </c>
      <c r="F366" s="18">
        <f t="shared" si="10"/>
        <v>596098.04779123608</v>
      </c>
      <c r="G366" s="2">
        <f t="shared" si="11"/>
        <v>2.1494829738887354E-2</v>
      </c>
    </row>
    <row r="367" spans="1:7" x14ac:dyDescent="0.25">
      <c r="A367" s="28">
        <v>46070</v>
      </c>
      <c r="B367" s="29">
        <v>4882.89990234375</v>
      </c>
      <c r="C367" s="21"/>
      <c r="D367" s="28">
        <v>46099</v>
      </c>
      <c r="E367" s="29">
        <v>3689.97</v>
      </c>
      <c r="F367" s="18">
        <f t="shared" si="10"/>
        <v>579284.24749773846</v>
      </c>
      <c r="G367" s="2">
        <f t="shared" si="11"/>
        <v>-2.861187782404518E-2</v>
      </c>
    </row>
    <row r="368" spans="1:7" x14ac:dyDescent="0.25">
      <c r="A368" s="28">
        <v>46071</v>
      </c>
      <c r="B368" s="29">
        <v>4986.5</v>
      </c>
      <c r="C368" s="21"/>
      <c r="D368" s="28">
        <v>46100</v>
      </c>
      <c r="E368" s="29">
        <v>3704.17</v>
      </c>
      <c r="F368" s="18">
        <f t="shared" si="10"/>
        <v>593851.41486819251</v>
      </c>
      <c r="G368" s="2">
        <f t="shared" si="11"/>
        <v>2.483585932414124E-2</v>
      </c>
    </row>
    <row r="369" spans="1:7" x14ac:dyDescent="0.25">
      <c r="A369" s="28">
        <v>46072</v>
      </c>
      <c r="B369" s="29">
        <v>4975.89990234375</v>
      </c>
      <c r="C369" s="21"/>
      <c r="D369" s="28">
        <v>46101</v>
      </c>
      <c r="E369" s="29">
        <v>3692.48</v>
      </c>
      <c r="F369" s="18">
        <f t="shared" si="10"/>
        <v>590718.87652785657</v>
      </c>
      <c r="G369" s="2">
        <f t="shared" si="11"/>
        <v>-5.2889147485697275E-3</v>
      </c>
    </row>
    <row r="370" spans="1:7" x14ac:dyDescent="0.25">
      <c r="A370" s="28">
        <v>46073</v>
      </c>
      <c r="B370" s="29">
        <v>5059.2998046875</v>
      </c>
      <c r="C370" s="21"/>
      <c r="D370" s="28">
        <v>46102</v>
      </c>
      <c r="E370" s="29">
        <v>3704.87</v>
      </c>
      <c r="F370" s="18">
        <f t="shared" si="10"/>
        <v>602635.13908491982</v>
      </c>
      <c r="G370" s="2">
        <f t="shared" si="11"/>
        <v>1.9971707446851724E-2</v>
      </c>
    </row>
    <row r="371" spans="1:7" x14ac:dyDescent="0.25">
      <c r="A371" s="28">
        <v>46076</v>
      </c>
      <c r="B371" s="29">
        <v>5204.7001953125</v>
      </c>
      <c r="C371" s="21"/>
      <c r="D371" s="28">
        <v>46106</v>
      </c>
      <c r="E371" s="29">
        <v>3700.67</v>
      </c>
      <c r="F371" s="18">
        <f t="shared" si="10"/>
        <v>619251.60314512195</v>
      </c>
      <c r="G371" s="2">
        <f t="shared" si="11"/>
        <v>2.7199719765402315E-2</v>
      </c>
    </row>
    <row r="372" spans="1:7" x14ac:dyDescent="0.25">
      <c r="A372" s="28">
        <v>46077</v>
      </c>
      <c r="B372" s="29">
        <v>5155.7998046875</v>
      </c>
      <c r="C372" s="21"/>
      <c r="D372" s="28">
        <v>46107</v>
      </c>
      <c r="E372" s="29">
        <v>3688.46</v>
      </c>
      <c r="F372" s="18">
        <f t="shared" si="10"/>
        <v>611409.50479200622</v>
      </c>
      <c r="G372" s="2">
        <f t="shared" si="11"/>
        <v>-1.2744701932815183E-2</v>
      </c>
    </row>
    <row r="373" spans="1:7" x14ac:dyDescent="0.25">
      <c r="A373" s="28">
        <v>46078</v>
      </c>
      <c r="B373" s="29">
        <v>5206.39990234375</v>
      </c>
      <c r="C373" s="21"/>
      <c r="D373" s="28">
        <v>46108</v>
      </c>
      <c r="E373" s="29">
        <v>3675.29</v>
      </c>
      <c r="F373" s="18">
        <f t="shared" si="10"/>
        <v>615205.48394399951</v>
      </c>
      <c r="G373" s="2">
        <f t="shared" si="11"/>
        <v>6.1893769520140517E-3</v>
      </c>
    </row>
    <row r="374" spans="1:7" x14ac:dyDescent="0.25">
      <c r="A374" s="28">
        <v>46079</v>
      </c>
      <c r="B374" s="29">
        <v>5176.5</v>
      </c>
      <c r="C374" s="21"/>
      <c r="D374" s="28">
        <v>46109</v>
      </c>
      <c r="E374" s="29">
        <v>3668.89</v>
      </c>
      <c r="F374" s="18">
        <f t="shared" si="10"/>
        <v>610607.27092091518</v>
      </c>
      <c r="G374" s="2">
        <f t="shared" si="11"/>
        <v>-7.5023441751839986E-3</v>
      </c>
    </row>
    <row r="375" spans="1:7" x14ac:dyDescent="0.25">
      <c r="A375" s="28">
        <v>46080</v>
      </c>
      <c r="B375" s="29">
        <v>5230.5</v>
      </c>
      <c r="C375" s="21"/>
      <c r="D375" s="28">
        <v>46112</v>
      </c>
      <c r="E375" s="29">
        <v>3669.96</v>
      </c>
      <c r="F375" s="18">
        <f t="shared" si="10"/>
        <v>617156.9147536587</v>
      </c>
      <c r="G375" s="2">
        <f t="shared" si="11"/>
        <v>1.0669322399692614E-2</v>
      </c>
    </row>
    <row r="376" spans="1:7" x14ac:dyDescent="0.25">
      <c r="A376" s="28">
        <v>46083</v>
      </c>
      <c r="B376" s="29">
        <v>5294.39990234375</v>
      </c>
      <c r="C376" s="21"/>
      <c r="D376" s="28">
        <v>46113</v>
      </c>
      <c r="E376" s="29">
        <v>3660.1</v>
      </c>
      <c r="F376" s="18">
        <f t="shared" si="10"/>
        <v>623018.23063614417</v>
      </c>
      <c r="G376" s="2">
        <f t="shared" si="11"/>
        <v>9.4524705582105118E-3</v>
      </c>
    </row>
    <row r="377" spans="1:7" x14ac:dyDescent="0.25">
      <c r="A377" s="28">
        <v>46084</v>
      </c>
      <c r="B377" s="29">
        <v>5107.39990234375</v>
      </c>
      <c r="C377" s="21"/>
      <c r="D377" s="28">
        <v>46114</v>
      </c>
      <c r="E377" s="29">
        <v>3675.81</v>
      </c>
      <c r="F377" s="18">
        <f t="shared" si="10"/>
        <v>603592.70302007464</v>
      </c>
      <c r="G377" s="2">
        <f t="shared" si="11"/>
        <v>-3.1676143295644464E-2</v>
      </c>
    </row>
    <row r="378" spans="1:7" x14ac:dyDescent="0.25">
      <c r="A378" s="28">
        <v>46085</v>
      </c>
      <c r="B378" s="29">
        <v>5120.2001953125</v>
      </c>
      <c r="C378" s="21"/>
      <c r="D378" s="28">
        <v>46119</v>
      </c>
      <c r="E378" s="29">
        <v>3664.41</v>
      </c>
      <c r="F378" s="18">
        <f t="shared" si="10"/>
        <v>603228.79394965502</v>
      </c>
      <c r="G378" s="2">
        <f t="shared" si="11"/>
        <v>-6.030868398736284E-4</v>
      </c>
    </row>
    <row r="379" spans="1:7" x14ac:dyDescent="0.25">
      <c r="A379" s="28">
        <v>46086</v>
      </c>
      <c r="B379" s="29">
        <v>5065.2998046875</v>
      </c>
      <c r="C379" s="21"/>
      <c r="D379" s="28">
        <v>46120</v>
      </c>
      <c r="E379" s="29">
        <v>3678.19</v>
      </c>
      <c r="F379" s="18">
        <f t="shared" si="10"/>
        <v>599004.9025195638</v>
      </c>
      <c r="G379" s="2">
        <f t="shared" si="11"/>
        <v>-7.0267682933884594E-3</v>
      </c>
    </row>
    <row r="380" spans="1:7" x14ac:dyDescent="0.25">
      <c r="A380" s="28">
        <v>46087</v>
      </c>
      <c r="B380" s="29">
        <v>5146.10009765625</v>
      </c>
      <c r="C380" s="21"/>
      <c r="D380" s="28">
        <v>46121</v>
      </c>
      <c r="E380" s="29">
        <v>3640.63</v>
      </c>
      <c r="F380" s="18">
        <f t="shared" si="10"/>
        <v>602345.72871063324</v>
      </c>
      <c r="G380" s="2">
        <f t="shared" si="11"/>
        <v>5.5617980566174873E-3</v>
      </c>
    </row>
    <row r="381" spans="1:7" x14ac:dyDescent="0.25">
      <c r="A381" s="28">
        <v>46090</v>
      </c>
      <c r="B381" s="29">
        <v>5091.5</v>
      </c>
      <c r="C381" s="21"/>
      <c r="D381" s="28">
        <v>46122</v>
      </c>
      <c r="E381" s="29">
        <v>3642.93</v>
      </c>
      <c r="F381" s="18">
        <f t="shared" si="10"/>
        <v>596331.34309280815</v>
      </c>
      <c r="G381" s="2">
        <f t="shared" si="11"/>
        <v>-1.003512327346813E-2</v>
      </c>
    </row>
    <row r="382" spans="1:7" x14ac:dyDescent="0.25">
      <c r="A382" s="28">
        <v>46091</v>
      </c>
      <c r="B382" s="29">
        <v>5229.7001953125</v>
      </c>
      <c r="C382" s="21"/>
      <c r="D382" s="28">
        <v>46123</v>
      </c>
      <c r="E382" s="29">
        <v>3631.49</v>
      </c>
      <c r="F382" s="18">
        <f t="shared" si="10"/>
        <v>610594.24592286709</v>
      </c>
      <c r="G382" s="2">
        <f t="shared" si="11"/>
        <v>2.3636199240310216E-2</v>
      </c>
    </row>
    <row r="383" spans="1:7" x14ac:dyDescent="0.25">
      <c r="A383" s="28">
        <v>46092</v>
      </c>
      <c r="B383" s="29">
        <v>5167.39990234375</v>
      </c>
      <c r="C383" s="21"/>
      <c r="D383" s="28">
        <v>46126</v>
      </c>
      <c r="E383" s="29">
        <v>3608.1</v>
      </c>
      <c r="F383" s="18">
        <f t="shared" si="10"/>
        <v>599434.45253832475</v>
      </c>
      <c r="G383" s="2">
        <f t="shared" si="11"/>
        <v>-1.8446025005872377E-2</v>
      </c>
    </row>
    <row r="384" spans="1:7" x14ac:dyDescent="0.25">
      <c r="A384" s="28">
        <v>46093</v>
      </c>
      <c r="B384" s="29">
        <v>5115.7998046875</v>
      </c>
      <c r="C384" s="21"/>
      <c r="D384" s="28">
        <v>46127</v>
      </c>
      <c r="E384" s="29">
        <v>3578.82</v>
      </c>
      <c r="F384" s="18">
        <f t="shared" si="10"/>
        <v>588632.80059455347</v>
      </c>
      <c r="G384" s="2">
        <f t="shared" si="11"/>
        <v>-1.8184070899281441E-2</v>
      </c>
    </row>
    <row r="385" spans="1:7" x14ac:dyDescent="0.25">
      <c r="A385" s="28">
        <v>46094</v>
      </c>
      <c r="B385" s="29">
        <v>5052.5</v>
      </c>
      <c r="C385" s="21"/>
      <c r="D385" s="28">
        <v>46128</v>
      </c>
      <c r="E385" s="29">
        <v>3603.19</v>
      </c>
      <c r="F385" s="18">
        <f t="shared" si="10"/>
        <v>585308.11819082557</v>
      </c>
      <c r="G385" s="2">
        <f t="shared" si="11"/>
        <v>-5.6641543696766428E-3</v>
      </c>
    </row>
    <row r="386" spans="1:7" x14ac:dyDescent="0.25">
      <c r="A386" s="28">
        <v>46097</v>
      </c>
      <c r="B386" s="29">
        <v>4994</v>
      </c>
      <c r="C386" s="21"/>
      <c r="D386" s="28">
        <v>46129</v>
      </c>
      <c r="E386" s="29">
        <v>3615.1</v>
      </c>
      <c r="F386" s="18">
        <f t="shared" si="10"/>
        <v>580443.4506177135</v>
      </c>
      <c r="G386" s="2">
        <f t="shared" si="11"/>
        <v>-8.3460249011345789E-3</v>
      </c>
    </row>
    <row r="387" spans="1:7" x14ac:dyDescent="0.25">
      <c r="A387" s="28">
        <v>46098</v>
      </c>
      <c r="B387" s="29">
        <v>5001</v>
      </c>
      <c r="C387" s="21"/>
      <c r="D387" s="28">
        <v>46130</v>
      </c>
      <c r="E387" s="29">
        <v>3593.14</v>
      </c>
      <c r="F387" s="18">
        <f t="shared" ref="F387:F450" si="12">(B387*E387)/$J$2</f>
        <v>577726.18976152537</v>
      </c>
      <c r="G387" s="2">
        <f t="shared" ref="G387:G450" si="13">LN(F387/F386)</f>
        <v>-4.6923451404590798E-3</v>
      </c>
    </row>
    <row r="388" spans="1:7" x14ac:dyDescent="0.25">
      <c r="A388" s="28">
        <v>46099</v>
      </c>
      <c r="B388" s="29">
        <v>4889.89990234375</v>
      </c>
      <c r="C388" s="21"/>
      <c r="D388" s="28">
        <v>46133</v>
      </c>
      <c r="E388" s="29">
        <v>3573.3</v>
      </c>
      <c r="F388" s="18">
        <f t="shared" si="12"/>
        <v>561772.54502444959</v>
      </c>
      <c r="G388" s="2">
        <f t="shared" si="13"/>
        <v>-2.8002992480794672E-2</v>
      </c>
    </row>
    <row r="389" spans="1:7" x14ac:dyDescent="0.25">
      <c r="A389" s="28">
        <v>46100</v>
      </c>
      <c r="B389" s="29">
        <v>4600.7001953125</v>
      </c>
      <c r="C389" s="21"/>
      <c r="D389" s="28">
        <v>46134</v>
      </c>
      <c r="E389" s="29">
        <v>3576.05</v>
      </c>
      <c r="F389" s="18">
        <f t="shared" si="12"/>
        <v>528954.81875670142</v>
      </c>
      <c r="G389" s="2">
        <f t="shared" si="13"/>
        <v>-6.0194024381721334E-2</v>
      </c>
    </row>
    <row r="390" spans="1:7" x14ac:dyDescent="0.25">
      <c r="A390" s="28">
        <v>46101</v>
      </c>
      <c r="B390" s="29">
        <v>4570.39990234375</v>
      </c>
      <c r="C390" s="21"/>
      <c r="D390" s="28">
        <v>46135</v>
      </c>
      <c r="E390" s="29">
        <v>3568.88</v>
      </c>
      <c r="F390" s="18">
        <f t="shared" si="12"/>
        <v>524417.54046854866</v>
      </c>
      <c r="G390" s="2">
        <f t="shared" si="13"/>
        <v>-8.6148194598045114E-3</v>
      </c>
    </row>
    <row r="391" spans="1:7" x14ac:dyDescent="0.25">
      <c r="A391" s="28">
        <v>46104</v>
      </c>
      <c r="B391" s="29">
        <v>4404.10009765625</v>
      </c>
      <c r="C391" s="21"/>
      <c r="D391" s="28">
        <v>46136</v>
      </c>
      <c r="E391" s="29">
        <v>3560.62</v>
      </c>
      <c r="F391" s="18">
        <f t="shared" si="12"/>
        <v>504166.36669109599</v>
      </c>
      <c r="G391" s="2">
        <f t="shared" si="13"/>
        <v>-3.9381893729613107E-2</v>
      </c>
    </row>
    <row r="392" spans="1:7" x14ac:dyDescent="0.25">
      <c r="A392" s="28">
        <v>46105</v>
      </c>
      <c r="B392" s="29">
        <v>4399.2998046875</v>
      </c>
      <c r="C392" s="21"/>
      <c r="D392" s="28">
        <v>46137</v>
      </c>
      <c r="E392" s="29">
        <v>3551.17</v>
      </c>
      <c r="F392" s="18">
        <f t="shared" si="12"/>
        <v>502280.2302092514</v>
      </c>
      <c r="G392" s="2">
        <f t="shared" si="13"/>
        <v>-3.7481147946595243E-3</v>
      </c>
    </row>
    <row r="393" spans="1:7" x14ac:dyDescent="0.25">
      <c r="A393" s="28">
        <v>46106</v>
      </c>
      <c r="B393" s="29">
        <v>4549.7998046875</v>
      </c>
      <c r="C393" s="21"/>
      <c r="D393" s="28">
        <v>46140</v>
      </c>
      <c r="E393" s="29">
        <v>3593.17</v>
      </c>
      <c r="F393" s="18">
        <f t="shared" si="12"/>
        <v>525606.96893567161</v>
      </c>
      <c r="G393" s="2">
        <f t="shared" si="13"/>
        <v>4.5395534643347717E-2</v>
      </c>
    </row>
    <row r="394" spans="1:7" x14ac:dyDescent="0.25">
      <c r="A394" s="28">
        <v>46107</v>
      </c>
      <c r="B394" s="29">
        <v>4375.5</v>
      </c>
      <c r="C394" s="21"/>
      <c r="D394" s="28">
        <v>46141</v>
      </c>
      <c r="E394" s="29">
        <v>3633.76</v>
      </c>
      <c r="F394" s="18">
        <f t="shared" si="12"/>
        <v>511181.33777250268</v>
      </c>
      <c r="G394" s="2">
        <f t="shared" si="13"/>
        <v>-2.782933040039846E-2</v>
      </c>
    </row>
    <row r="395" spans="1:7" x14ac:dyDescent="0.25">
      <c r="A395" s="28">
        <v>46108</v>
      </c>
      <c r="B395" s="29">
        <v>4492</v>
      </c>
      <c r="C395" s="21"/>
      <c r="D395" s="28">
        <v>46142</v>
      </c>
      <c r="E395" s="29">
        <v>3621.86</v>
      </c>
      <c r="F395" s="18">
        <f t="shared" si="12"/>
        <v>523073.19932799286</v>
      </c>
      <c r="G395" s="2">
        <f t="shared" si="13"/>
        <v>2.2997019053411068E-2</v>
      </c>
    </row>
    <row r="396" spans="1:7" x14ac:dyDescent="0.25">
      <c r="A396" s="28">
        <v>46111</v>
      </c>
      <c r="B396" s="29">
        <v>4526</v>
      </c>
      <c r="C396" s="21"/>
      <c r="D396" s="28">
        <v>46143</v>
      </c>
      <c r="E396" s="29">
        <v>3637.51</v>
      </c>
      <c r="F396" s="18">
        <f t="shared" si="12"/>
        <v>529309.64489474706</v>
      </c>
      <c r="G396" s="2">
        <f t="shared" si="13"/>
        <v>1.1852185933765278E-2</v>
      </c>
    </row>
    <row r="397" spans="1:7" x14ac:dyDescent="0.25">
      <c r="A397" s="28">
        <v>46112</v>
      </c>
      <c r="B397" s="29">
        <v>4647.60009765625</v>
      </c>
      <c r="C397" s="21"/>
      <c r="D397" s="28">
        <v>46147</v>
      </c>
      <c r="E397" s="29">
        <v>3707.58</v>
      </c>
      <c r="F397" s="18">
        <f t="shared" si="12"/>
        <v>554000.74020240596</v>
      </c>
      <c r="G397" s="2">
        <f t="shared" si="13"/>
        <v>4.5592422172508543E-2</v>
      </c>
    </row>
    <row r="398" spans="1:7" x14ac:dyDescent="0.25">
      <c r="A398" s="28">
        <v>46113</v>
      </c>
      <c r="B398" s="29">
        <v>4783.2001953125</v>
      </c>
      <c r="C398" s="21"/>
      <c r="D398" s="28">
        <v>46148</v>
      </c>
      <c r="E398" s="29">
        <v>3723.33</v>
      </c>
      <c r="F398" s="18">
        <f t="shared" si="12"/>
        <v>572586.55994409241</v>
      </c>
      <c r="G398" s="2">
        <f t="shared" si="13"/>
        <v>3.2997897556447629E-2</v>
      </c>
    </row>
    <row r="399" spans="1:7" x14ac:dyDescent="0.25">
      <c r="A399" s="28">
        <v>46114</v>
      </c>
      <c r="B399" s="29">
        <v>4651.5</v>
      </c>
      <c r="C399" s="21"/>
      <c r="D399" s="28">
        <v>46149</v>
      </c>
      <c r="E399" s="29">
        <v>3706.44</v>
      </c>
      <c r="F399" s="18">
        <f t="shared" si="12"/>
        <v>554295.1281896563</v>
      </c>
      <c r="G399" s="2">
        <f t="shared" si="13"/>
        <v>-3.2466653143164742E-2</v>
      </c>
    </row>
    <row r="400" spans="1:7" x14ac:dyDescent="0.25">
      <c r="A400" s="28">
        <v>46118</v>
      </c>
      <c r="B400" s="29">
        <v>4656.7998046875</v>
      </c>
      <c r="C400" s="21"/>
      <c r="D400" s="28">
        <v>46150</v>
      </c>
      <c r="E400" s="29">
        <v>3729.27</v>
      </c>
      <c r="F400" s="18">
        <f t="shared" si="12"/>
        <v>558344.77667226421</v>
      </c>
      <c r="G400" s="2">
        <f t="shared" si="13"/>
        <v>7.2793836483401745E-3</v>
      </c>
    </row>
    <row r="401" spans="1:7" x14ac:dyDescent="0.25">
      <c r="A401" s="28">
        <v>46119</v>
      </c>
      <c r="B401" s="29">
        <v>4657.10009765625</v>
      </c>
      <c r="C401" s="21"/>
      <c r="D401" s="28">
        <v>46151</v>
      </c>
      <c r="E401" s="29">
        <v>3747.1</v>
      </c>
      <c r="F401" s="18">
        <f t="shared" si="12"/>
        <v>561050.45388134022</v>
      </c>
      <c r="G401" s="2">
        <f t="shared" si="13"/>
        <v>4.8341861826533905E-3</v>
      </c>
    </row>
    <row r="402" spans="1:7" x14ac:dyDescent="0.25">
      <c r="A402" s="28">
        <v>46120</v>
      </c>
      <c r="B402" s="29">
        <v>4749.5</v>
      </c>
      <c r="C402" s="21"/>
      <c r="D402" s="28">
        <v>46154</v>
      </c>
      <c r="E402" s="29">
        <v>3759</v>
      </c>
      <c r="F402" s="18">
        <f t="shared" si="12"/>
        <v>573999.19034131907</v>
      </c>
      <c r="G402" s="2">
        <f t="shared" si="13"/>
        <v>2.2817148667284955E-2</v>
      </c>
    </row>
    <row r="403" spans="1:7" x14ac:dyDescent="0.25">
      <c r="A403" s="28">
        <v>46121</v>
      </c>
      <c r="B403" s="29">
        <v>4792.2001953125</v>
      </c>
      <c r="C403" s="21"/>
      <c r="D403" s="28">
        <v>46155</v>
      </c>
      <c r="E403" s="29">
        <v>3775.07</v>
      </c>
      <c r="F403" s="18">
        <f t="shared" si="12"/>
        <v>581635.65789270087</v>
      </c>
      <c r="G403" s="2">
        <f t="shared" si="13"/>
        <v>1.321624857087794E-2</v>
      </c>
    </row>
    <row r="404" spans="1:7" x14ac:dyDescent="0.25">
      <c r="A404" s="28">
        <v>46122</v>
      </c>
      <c r="B404" s="29">
        <v>4761.89990234375</v>
      </c>
      <c r="C404" s="21"/>
      <c r="D404" s="28">
        <v>46156</v>
      </c>
      <c r="E404" s="29">
        <v>3794.91</v>
      </c>
      <c r="F404" s="18">
        <f t="shared" si="12"/>
        <v>580995.54833057511</v>
      </c>
      <c r="G404" s="2">
        <f t="shared" si="13"/>
        <v>-1.1011395933251957E-3</v>
      </c>
    </row>
    <row r="405" spans="1:7" x14ac:dyDescent="0.25">
      <c r="A405" s="28">
        <v>46125</v>
      </c>
      <c r="B405" s="29">
        <v>4742.39990234375</v>
      </c>
      <c r="C405" s="21"/>
      <c r="D405" s="28">
        <v>46157</v>
      </c>
      <c r="E405" s="29">
        <v>3784.7</v>
      </c>
      <c r="F405" s="18">
        <f t="shared" si="12"/>
        <v>577059.63310186565</v>
      </c>
      <c r="G405" s="2">
        <f t="shared" si="13"/>
        <v>-6.797483309903261E-3</v>
      </c>
    </row>
    <row r="406" spans="1:7" x14ac:dyDescent="0.25">
      <c r="A406" s="28">
        <v>46126</v>
      </c>
      <c r="B406" s="29">
        <v>4825</v>
      </c>
      <c r="C406" s="21"/>
      <c r="D406" s="28">
        <v>46158</v>
      </c>
      <c r="E406" s="29">
        <v>3796.78</v>
      </c>
      <c r="F406" s="18">
        <f t="shared" si="12"/>
        <v>588984.42826173059</v>
      </c>
      <c r="G406" s="2">
        <f t="shared" si="13"/>
        <v>2.0454134284883869E-2</v>
      </c>
    </row>
    <row r="407" spans="1:7" x14ac:dyDescent="0.25">
      <c r="A407" s="28">
        <v>46127</v>
      </c>
      <c r="B407" s="29">
        <v>4800</v>
      </c>
      <c r="C407" s="21"/>
      <c r="D407" s="28">
        <v>46162</v>
      </c>
      <c r="E407" s="29">
        <v>3796.87</v>
      </c>
      <c r="F407" s="18">
        <f t="shared" si="12"/>
        <v>585946.58459532727</v>
      </c>
      <c r="G407" s="2">
        <f t="shared" si="13"/>
        <v>-5.1711128612476776E-3</v>
      </c>
    </row>
    <row r="408" spans="1:7" x14ac:dyDescent="0.25">
      <c r="A408" s="28">
        <v>46128</v>
      </c>
      <c r="B408" s="29">
        <v>4785.39990234375</v>
      </c>
      <c r="C408" s="21"/>
      <c r="D408" s="28">
        <v>46163</v>
      </c>
      <c r="E408" s="29">
        <v>3730.49</v>
      </c>
      <c r="F408" s="18">
        <f t="shared" si="12"/>
        <v>573951.47804487031</v>
      </c>
      <c r="G408" s="2">
        <f t="shared" si="13"/>
        <v>-2.0683773131088889E-2</v>
      </c>
    </row>
    <row r="409" spans="1:7" x14ac:dyDescent="0.25">
      <c r="A409" s="28">
        <v>46129</v>
      </c>
      <c r="B409" s="29">
        <v>4857.60009765625</v>
      </c>
      <c r="C409" s="21"/>
      <c r="D409" s="28">
        <v>46164</v>
      </c>
      <c r="E409" s="29">
        <v>3701.37</v>
      </c>
      <c r="F409" s="18">
        <f t="shared" si="12"/>
        <v>578063.19817795779</v>
      </c>
      <c r="G409" s="2">
        <f t="shared" si="13"/>
        <v>7.138342379916532E-3</v>
      </c>
    </row>
    <row r="410" spans="1:7" x14ac:dyDescent="0.25">
      <c r="A410" s="28">
        <v>46132</v>
      </c>
      <c r="B410" s="29">
        <v>4806.60009765625</v>
      </c>
      <c r="C410" s="21"/>
      <c r="D410" s="28">
        <v>46165</v>
      </c>
      <c r="E410" s="29">
        <v>3667.06</v>
      </c>
      <c r="F410" s="18">
        <f t="shared" si="12"/>
        <v>566691.98326121946</v>
      </c>
      <c r="G410" s="2">
        <f t="shared" si="13"/>
        <v>-1.9867285381923446E-2</v>
      </c>
    </row>
    <row r="411" spans="1:7" x14ac:dyDescent="0.25">
      <c r="A411" s="28">
        <v>46133</v>
      </c>
      <c r="B411" s="29">
        <v>4698.39990234375</v>
      </c>
      <c r="C411" s="21"/>
      <c r="D411" s="28">
        <v>46169</v>
      </c>
      <c r="E411" s="29">
        <v>3644.47</v>
      </c>
      <c r="F411" s="18">
        <f t="shared" si="12"/>
        <v>550522.93999797234</v>
      </c>
      <c r="G411" s="2">
        <f t="shared" si="13"/>
        <v>-2.8947290222744577E-2</v>
      </c>
    </row>
    <row r="412" spans="1:7" x14ac:dyDescent="0.25">
      <c r="A412" s="28">
        <v>46134</v>
      </c>
      <c r="B412" s="29">
        <v>4732.5</v>
      </c>
      <c r="C412" s="21"/>
      <c r="D412" s="28">
        <v>46170</v>
      </c>
      <c r="E412" s="29">
        <v>3631.57</v>
      </c>
      <c r="F412" s="18">
        <f t="shared" si="12"/>
        <v>552555.7523845695</v>
      </c>
      <c r="G412" s="2">
        <f t="shared" si="13"/>
        <v>3.6857110954226081E-3</v>
      </c>
    </row>
    <row r="413" spans="1:7" x14ac:dyDescent="0.25">
      <c r="A413" s="28">
        <v>46135</v>
      </c>
      <c r="B413" s="29">
        <v>4705.10009765625</v>
      </c>
      <c r="C413" s="21"/>
      <c r="D413" s="28">
        <v>46171</v>
      </c>
      <c r="E413" s="29">
        <v>3646.58</v>
      </c>
      <c r="F413" s="18">
        <f t="shared" si="12"/>
        <v>551627.20310776727</v>
      </c>
      <c r="G413" s="2">
        <f t="shared" si="13"/>
        <v>-1.6818761620370493E-3</v>
      </c>
    </row>
    <row r="414" spans="1:7" x14ac:dyDescent="0.25">
      <c r="A414" s="28">
        <v>46136</v>
      </c>
      <c r="B414" s="29">
        <v>4722.2998046875</v>
      </c>
      <c r="C414" s="21"/>
      <c r="D414" s="28">
        <v>46172</v>
      </c>
      <c r="E414" s="29">
        <v>3678.15</v>
      </c>
      <c r="F414" s="18">
        <f t="shared" si="12"/>
        <v>558436.83130020136</v>
      </c>
      <c r="G414" s="2">
        <f t="shared" si="13"/>
        <v>1.2269046472944569E-2</v>
      </c>
    </row>
    <row r="415" spans="1:7" x14ac:dyDescent="0.25">
      <c r="A415" s="28">
        <v>46139</v>
      </c>
      <c r="B415" s="29">
        <v>4675.39990234375</v>
      </c>
      <c r="C415" s="21"/>
      <c r="D415" s="28">
        <v>46175</v>
      </c>
      <c r="E415" s="29">
        <v>3560.24</v>
      </c>
      <c r="F415" s="18">
        <f t="shared" si="12"/>
        <v>535166.72285074939</v>
      </c>
      <c r="G415" s="2">
        <f t="shared" si="13"/>
        <v>-4.2563178059428504E-2</v>
      </c>
    </row>
    <row r="416" spans="1:7" x14ac:dyDescent="0.25">
      <c r="A416" s="28">
        <v>46140</v>
      </c>
      <c r="B416" s="29">
        <v>4591.5</v>
      </c>
      <c r="C416" s="21"/>
      <c r="D416" s="28">
        <v>46176</v>
      </c>
      <c r="E416" s="29">
        <v>3562</v>
      </c>
      <c r="F416" s="18">
        <f t="shared" si="12"/>
        <v>525822.98452242487</v>
      </c>
      <c r="G416" s="2">
        <f t="shared" si="13"/>
        <v>-1.7613705073578081E-2</v>
      </c>
    </row>
    <row r="417" spans="1:7" x14ac:dyDescent="0.25">
      <c r="A417" s="28">
        <v>46141</v>
      </c>
      <c r="B417" s="29">
        <v>4545.2001953125</v>
      </c>
      <c r="C417" s="21"/>
      <c r="D417" s="28">
        <v>46177</v>
      </c>
      <c r="E417" s="29">
        <v>3572.85</v>
      </c>
      <c r="F417" s="18">
        <f t="shared" si="12"/>
        <v>522106.21411373105</v>
      </c>
      <c r="G417" s="2">
        <f t="shared" si="13"/>
        <v>-7.0935822741411752E-3</v>
      </c>
    </row>
    <row r="418" spans="1:7" x14ac:dyDescent="0.25">
      <c r="A418" s="28">
        <v>46142</v>
      </c>
      <c r="B418" s="29">
        <v>4614.7001953125</v>
      </c>
      <c r="C418" s="21"/>
      <c r="D418" s="28">
        <v>46178</v>
      </c>
      <c r="E418" s="29">
        <v>3565.32</v>
      </c>
      <c r="F418" s="18">
        <f t="shared" si="12"/>
        <v>528972.46845251601</v>
      </c>
      <c r="G418" s="2">
        <f t="shared" si="13"/>
        <v>1.3065343492728747E-2</v>
      </c>
    </row>
    <row r="419" spans="1:7" x14ac:dyDescent="0.25">
      <c r="A419" s="28">
        <v>46143</v>
      </c>
      <c r="B419" s="29">
        <v>4629.89990234375</v>
      </c>
      <c r="C419" s="21"/>
      <c r="D419" s="28">
        <v>46179</v>
      </c>
      <c r="E419" s="29">
        <v>3588.09</v>
      </c>
      <c r="F419" s="18">
        <f t="shared" si="12"/>
        <v>534104.19829980505</v>
      </c>
      <c r="G419" s="2">
        <f t="shared" si="13"/>
        <v>9.654561836744003E-3</v>
      </c>
    </row>
    <row r="420" spans="1:7" x14ac:dyDescent="0.25">
      <c r="A420" s="28">
        <v>46146</v>
      </c>
      <c r="B420" s="29">
        <v>4519.5</v>
      </c>
      <c r="C420" s="21"/>
      <c r="D420" s="28">
        <v>46183</v>
      </c>
      <c r="E420" s="29">
        <v>3581.46</v>
      </c>
      <c r="F420" s="18">
        <f t="shared" si="12"/>
        <v>520405.11657526344</v>
      </c>
      <c r="G420" s="2">
        <f t="shared" si="13"/>
        <v>-2.5983369232728336E-2</v>
      </c>
    </row>
    <row r="421" spans="1:7" x14ac:dyDescent="0.25">
      <c r="A421" s="28">
        <v>46147</v>
      </c>
      <c r="B421" s="29">
        <v>4555.7998046875</v>
      </c>
      <c r="C421" s="21"/>
      <c r="D421" s="28">
        <v>46184</v>
      </c>
      <c r="E421" s="29">
        <v>3567.11</v>
      </c>
      <c r="F421" s="18">
        <f t="shared" si="12"/>
        <v>522483.0376936777</v>
      </c>
      <c r="G421" s="2">
        <f t="shared" si="13"/>
        <v>3.9849409730997017E-3</v>
      </c>
    </row>
    <row r="422" spans="1:7" x14ac:dyDescent="0.25">
      <c r="A422" s="28">
        <v>46148</v>
      </c>
      <c r="B422" s="29">
        <v>4681.89990234375</v>
      </c>
      <c r="C422" s="21"/>
      <c r="D422" s="28">
        <v>46185</v>
      </c>
      <c r="E422" s="29">
        <v>3513.54</v>
      </c>
      <c r="F422" s="18">
        <f t="shared" si="12"/>
        <v>528881.15012534091</v>
      </c>
      <c r="G422" s="2">
        <f t="shared" si="13"/>
        <v>1.2171218098393879E-2</v>
      </c>
    </row>
    <row r="423" spans="1:7" x14ac:dyDescent="0.25">
      <c r="A423" s="28">
        <v>46149</v>
      </c>
      <c r="B423" s="29">
        <v>4699.7998046875</v>
      </c>
      <c r="C423" s="21"/>
      <c r="D423" s="28">
        <v>46186</v>
      </c>
      <c r="E423" s="29">
        <v>3475.72</v>
      </c>
      <c r="F423" s="18">
        <f t="shared" si="12"/>
        <v>525188.49523434753</v>
      </c>
      <c r="G423" s="2">
        <f t="shared" si="13"/>
        <v>-7.0065009719192843E-3</v>
      </c>
    </row>
    <row r="424" spans="1:7" x14ac:dyDescent="0.25">
      <c r="A424" s="28">
        <v>46150</v>
      </c>
      <c r="B424" s="29">
        <v>4720.39990234375</v>
      </c>
      <c r="C424" s="21"/>
      <c r="D424" s="28">
        <v>46190</v>
      </c>
      <c r="E424" s="29">
        <v>3427.07</v>
      </c>
      <c r="F424" s="18">
        <f t="shared" si="12"/>
        <v>520107.15706628648</v>
      </c>
      <c r="G424" s="2">
        <f t="shared" si="13"/>
        <v>-9.7223750673012498E-3</v>
      </c>
    </row>
    <row r="425" spans="1:7" x14ac:dyDescent="0.25">
      <c r="A425" s="28">
        <v>46153</v>
      </c>
      <c r="B425" s="29">
        <v>4718.7001953125</v>
      </c>
      <c r="C425" s="21"/>
      <c r="D425" s="28">
        <v>46191</v>
      </c>
      <c r="E425" s="29">
        <v>3439.91</v>
      </c>
      <c r="F425" s="18">
        <f t="shared" si="12"/>
        <v>521867.83147205663</v>
      </c>
      <c r="G425" s="2">
        <f t="shared" si="13"/>
        <v>3.379497782307199E-3</v>
      </c>
    </row>
    <row r="426" spans="1:7" x14ac:dyDescent="0.25">
      <c r="A426" s="28">
        <v>46154</v>
      </c>
      <c r="B426" s="29">
        <v>4677.60009765625</v>
      </c>
      <c r="C426" s="21"/>
      <c r="D426" s="28">
        <v>46192</v>
      </c>
      <c r="E426" s="29">
        <v>3459.53</v>
      </c>
      <c r="F426" s="18">
        <f t="shared" si="12"/>
        <v>520272.95758282329</v>
      </c>
      <c r="G426" s="2">
        <f t="shared" si="13"/>
        <v>-3.0607671268363923E-3</v>
      </c>
    </row>
    <row r="427" spans="1:7" x14ac:dyDescent="0.25">
      <c r="A427" s="28">
        <v>46155</v>
      </c>
      <c r="B427" s="29">
        <v>4697.7001953125</v>
      </c>
      <c r="C427" s="21"/>
      <c r="D427" s="28">
        <v>46196</v>
      </c>
      <c r="E427" s="29">
        <v>3406.14</v>
      </c>
      <c r="F427" s="18">
        <f t="shared" si="12"/>
        <v>514444.88492880377</v>
      </c>
      <c r="G427" s="2">
        <f t="shared" si="13"/>
        <v>-1.1265166305704247E-2</v>
      </c>
    </row>
    <row r="428" spans="1:7" x14ac:dyDescent="0.25">
      <c r="A428" s="28">
        <v>46156</v>
      </c>
      <c r="B428" s="29">
        <v>4678.10009765625</v>
      </c>
      <c r="C428" s="21"/>
      <c r="D428" s="28">
        <v>46197</v>
      </c>
      <c r="E428" s="29">
        <v>3425.95</v>
      </c>
      <c r="F428" s="18">
        <f t="shared" si="12"/>
        <v>515277.99070891744</v>
      </c>
      <c r="G428" s="2">
        <f t="shared" si="13"/>
        <v>1.6181168382311004E-3</v>
      </c>
    </row>
    <row r="429" spans="1:7" x14ac:dyDescent="0.25">
      <c r="A429" s="28">
        <v>46157</v>
      </c>
      <c r="B429" s="29">
        <v>4555.7998046875</v>
      </c>
      <c r="C429" s="21"/>
      <c r="D429" s="28">
        <v>46198</v>
      </c>
      <c r="E429" s="29">
        <v>3428.32</v>
      </c>
      <c r="F429" s="18">
        <f t="shared" si="12"/>
        <v>502154.13816394482</v>
      </c>
      <c r="G429" s="2">
        <f t="shared" si="13"/>
        <v>-2.5799422117574911E-2</v>
      </c>
    </row>
    <row r="430" spans="1:7" x14ac:dyDescent="0.25">
      <c r="A430" s="28">
        <v>46160</v>
      </c>
      <c r="B430" s="29">
        <v>4552.5</v>
      </c>
      <c r="C430" s="21"/>
      <c r="D430" s="28">
        <v>46199</v>
      </c>
      <c r="E430" s="29">
        <v>3433.71</v>
      </c>
      <c r="F430" s="18">
        <f t="shared" si="12"/>
        <v>502579.33785074472</v>
      </c>
      <c r="G430" s="2">
        <f t="shared" si="13"/>
        <v>8.4639304319837389E-4</v>
      </c>
    </row>
    <row r="431" spans="1:7" x14ac:dyDescent="0.25">
      <c r="A431" s="28">
        <v>46161</v>
      </c>
      <c r="B431" s="29">
        <v>4506.2998046875</v>
      </c>
      <c r="C431" s="21"/>
      <c r="D431" s="28">
        <v>46200</v>
      </c>
      <c r="E431" s="29">
        <v>3443.59</v>
      </c>
      <c r="F431" s="18">
        <f t="shared" si="12"/>
        <v>498910.42870242172</v>
      </c>
      <c r="G431" s="2">
        <f t="shared" si="13"/>
        <v>-7.3269356998188571E-3</v>
      </c>
    </row>
    <row r="432" spans="1:7" x14ac:dyDescent="0.25">
      <c r="A432" s="28">
        <v>46162</v>
      </c>
      <c r="B432" s="29">
        <v>4531.2998046875</v>
      </c>
      <c r="C432" s="21"/>
      <c r="D432" s="28">
        <v>46204</v>
      </c>
      <c r="E432" s="29">
        <v>3440.83</v>
      </c>
      <c r="F432" s="18">
        <f t="shared" si="12"/>
        <v>501276.18874308263</v>
      </c>
      <c r="G432" s="2">
        <f t="shared" si="13"/>
        <v>4.7306460841261833E-3</v>
      </c>
    </row>
    <row r="433" spans="1:7" x14ac:dyDescent="0.25">
      <c r="A433" s="28">
        <v>46163</v>
      </c>
      <c r="B433" s="29">
        <v>4539.7998046875</v>
      </c>
      <c r="C433" s="21"/>
      <c r="D433" s="28">
        <v>46205</v>
      </c>
      <c r="E433" s="29">
        <v>3403.35</v>
      </c>
      <c r="F433" s="18">
        <f t="shared" si="12"/>
        <v>496745.99931809562</v>
      </c>
      <c r="G433" s="2">
        <f t="shared" si="13"/>
        <v>-9.0783964383996212E-3</v>
      </c>
    </row>
    <row r="434" spans="1:7" x14ac:dyDescent="0.25">
      <c r="A434" s="28">
        <v>46164</v>
      </c>
      <c r="B434" s="29">
        <v>4521</v>
      </c>
      <c r="C434" s="21"/>
      <c r="D434" s="28">
        <v>46206</v>
      </c>
      <c r="E434" s="29">
        <v>3357.82</v>
      </c>
      <c r="F434" s="18">
        <f t="shared" si="12"/>
        <v>488070.97411052132</v>
      </c>
      <c r="G434" s="2">
        <f t="shared" si="13"/>
        <v>-1.7617993657526382E-2</v>
      </c>
    </row>
    <row r="435" spans="1:7" x14ac:dyDescent="0.25">
      <c r="A435" s="28">
        <v>46168</v>
      </c>
      <c r="B435" s="29">
        <v>4500.39990234375</v>
      </c>
      <c r="C435" s="21"/>
      <c r="D435" s="28">
        <v>46207</v>
      </c>
      <c r="E435" s="29">
        <v>3334.93</v>
      </c>
      <c r="F435" s="18">
        <f t="shared" si="12"/>
        <v>482535.07936846605</v>
      </c>
      <c r="G435" s="2">
        <f t="shared" si="13"/>
        <v>-1.1407212538412001E-2</v>
      </c>
    </row>
    <row r="436" spans="1:7" x14ac:dyDescent="0.25">
      <c r="A436" s="28">
        <v>46169</v>
      </c>
      <c r="B436" s="29">
        <v>4447.5</v>
      </c>
      <c r="C436" s="21"/>
      <c r="D436" s="28">
        <v>46210</v>
      </c>
      <c r="E436" s="29">
        <v>3350.68</v>
      </c>
      <c r="F436" s="18">
        <f t="shared" si="12"/>
        <v>479115.22547215683</v>
      </c>
      <c r="G436" s="2">
        <f t="shared" si="13"/>
        <v>-7.1124987866041716E-3</v>
      </c>
    </row>
    <row r="437" spans="1:7" x14ac:dyDescent="0.25">
      <c r="A437" s="28">
        <v>46170</v>
      </c>
      <c r="B437" s="29">
        <v>4499.2998046875</v>
      </c>
      <c r="C437" s="21"/>
      <c r="D437" s="28">
        <v>46211</v>
      </c>
      <c r="E437" s="29">
        <v>3335.5</v>
      </c>
      <c r="F437" s="18">
        <f t="shared" si="12"/>
        <v>482499.58019275701</v>
      </c>
      <c r="G437" s="2">
        <f t="shared" si="13"/>
        <v>7.0389280078279456E-3</v>
      </c>
    </row>
    <row r="438" spans="1:7" x14ac:dyDescent="0.25">
      <c r="A438" s="28">
        <v>46171</v>
      </c>
      <c r="B438" s="29">
        <v>4560.5</v>
      </c>
      <c r="C438" s="21"/>
      <c r="D438" s="28">
        <v>46212</v>
      </c>
      <c r="E438" s="29">
        <v>3339.65</v>
      </c>
      <c r="F438" s="18">
        <f t="shared" si="12"/>
        <v>489671.10406769707</v>
      </c>
      <c r="G438" s="2">
        <f t="shared" si="13"/>
        <v>1.4753898838023832E-2</v>
      </c>
    </row>
    <row r="439" spans="1:7" x14ac:dyDescent="0.25">
      <c r="A439" s="28">
        <v>46174</v>
      </c>
      <c r="B439" s="29">
        <v>4475.2001953125</v>
      </c>
      <c r="C439" s="21"/>
      <c r="D439" s="28">
        <v>46213</v>
      </c>
      <c r="E439" s="29">
        <v>3305.38</v>
      </c>
      <c r="F439" s="18">
        <f t="shared" si="12"/>
        <v>475581.47009410959</v>
      </c>
      <c r="G439" s="2">
        <f t="shared" si="13"/>
        <v>-2.9195746606389749E-2</v>
      </c>
    </row>
    <row r="440" spans="1:7" x14ac:dyDescent="0.25">
      <c r="A440" s="28">
        <v>46175</v>
      </c>
      <c r="B440" s="29">
        <v>4489.10009765625</v>
      </c>
      <c r="C440" s="21"/>
      <c r="D440" s="28">
        <v>46214</v>
      </c>
      <c r="E440" s="29">
        <v>3248.87</v>
      </c>
      <c r="F440" s="18">
        <f t="shared" si="12"/>
        <v>468902.64802398102</v>
      </c>
      <c r="G440" s="2">
        <f t="shared" si="13"/>
        <v>-1.4143029553190124E-2</v>
      </c>
    </row>
    <row r="441" spans="1:7" x14ac:dyDescent="0.25">
      <c r="A441" s="28">
        <v>46176</v>
      </c>
      <c r="B441" s="29">
        <v>4436.7001953125</v>
      </c>
      <c r="C441" s="21"/>
      <c r="D441" s="28">
        <v>46218</v>
      </c>
      <c r="E441" s="29">
        <v>3252.11</v>
      </c>
      <c r="F441" s="18">
        <f t="shared" si="12"/>
        <v>463891.45383829676</v>
      </c>
      <c r="G441" s="2">
        <f t="shared" si="13"/>
        <v>-1.074458422457456E-2</v>
      </c>
    </row>
    <row r="442" spans="1:7" x14ac:dyDescent="0.25">
      <c r="A442" s="28">
        <v>46177</v>
      </c>
      <c r="B442" s="29">
        <v>4475.7998046875</v>
      </c>
      <c r="C442" s="21"/>
      <c r="D442" s="28">
        <v>46219</v>
      </c>
      <c r="E442" s="29">
        <v>3233.91</v>
      </c>
      <c r="F442" s="18">
        <f t="shared" si="12"/>
        <v>465360.636029505</v>
      </c>
      <c r="G442" s="2">
        <f t="shared" si="13"/>
        <v>3.1620771831255123E-3</v>
      </c>
    </row>
    <row r="443" spans="1:7" x14ac:dyDescent="0.25">
      <c r="A443" s="28">
        <v>46178</v>
      </c>
      <c r="B443" s="29">
        <v>4337.10009765625</v>
      </c>
      <c r="C443" s="21"/>
      <c r="D443" s="28">
        <v>46220</v>
      </c>
      <c r="E443" s="29">
        <v>3221.41</v>
      </c>
      <c r="F443" s="18">
        <f t="shared" si="12"/>
        <v>449196.65140428353</v>
      </c>
      <c r="G443" s="2">
        <f t="shared" si="13"/>
        <v>-3.5351898088724298E-2</v>
      </c>
    </row>
    <row r="444" spans="1:7" x14ac:dyDescent="0.25">
      <c r="A444" s="28">
        <v>46181</v>
      </c>
      <c r="B444" s="29">
        <v>4335.89990234375</v>
      </c>
      <c r="C444" s="21"/>
      <c r="D444" s="28">
        <v>46221</v>
      </c>
      <c r="E444" s="29">
        <v>3262.58</v>
      </c>
      <c r="F444" s="18">
        <f t="shared" si="12"/>
        <v>454811.54387822881</v>
      </c>
      <c r="G444" s="2">
        <f t="shared" si="13"/>
        <v>1.2422375612152597E-2</v>
      </c>
    </row>
    <row r="445" spans="1:7" x14ac:dyDescent="0.25">
      <c r="A445" s="28">
        <v>46182</v>
      </c>
      <c r="B445" s="29">
        <v>4260</v>
      </c>
      <c r="C445" s="21"/>
      <c r="D445" s="28">
        <v>46225</v>
      </c>
      <c r="E445" s="29">
        <v>3238.19</v>
      </c>
      <c r="F445" s="18">
        <f t="shared" si="12"/>
        <v>443509.56289233878</v>
      </c>
      <c r="G445" s="2">
        <f t="shared" si="13"/>
        <v>-2.5163780027381538E-2</v>
      </c>
    </row>
    <row r="446" spans="1:7" x14ac:dyDescent="0.25">
      <c r="A446" s="28">
        <v>46183</v>
      </c>
      <c r="B446" s="29">
        <v>4108.2001953125</v>
      </c>
      <c r="C446" s="21"/>
      <c r="D446" s="28">
        <v>46226</v>
      </c>
      <c r="E446" s="29">
        <v>3206.86</v>
      </c>
      <c r="F446" s="18">
        <f t="shared" si="12"/>
        <v>423567.5311494387</v>
      </c>
      <c r="G446" s="2">
        <f t="shared" si="13"/>
        <v>-4.6006402844233435E-2</v>
      </c>
    </row>
    <row r="447" spans="1:7" x14ac:dyDescent="0.25">
      <c r="A447" s="28">
        <v>46184</v>
      </c>
      <c r="B447" s="29">
        <v>4090.300048828125</v>
      </c>
      <c r="C447" s="21"/>
      <c r="D447" s="28">
        <v>46227</v>
      </c>
      <c r="E447" s="29">
        <v>3219.31</v>
      </c>
      <c r="F447" s="18">
        <f t="shared" si="12"/>
        <v>423359.22555747436</v>
      </c>
      <c r="G447" s="2">
        <f t="shared" si="13"/>
        <v>-4.9190935229078856E-4</v>
      </c>
    </row>
    <row r="448" spans="1:7" x14ac:dyDescent="0.25">
      <c r="A448" s="28">
        <v>46185</v>
      </c>
      <c r="B448" s="29">
        <v>4215</v>
      </c>
      <c r="C448" s="21"/>
      <c r="D448" s="28">
        <v>46228</v>
      </c>
      <c r="E448" s="29">
        <v>3210.56</v>
      </c>
      <c r="F448" s="18">
        <f t="shared" si="12"/>
        <v>435080.31230772246</v>
      </c>
      <c r="G448" s="2">
        <f t="shared" si="13"/>
        <v>2.7309588393812066E-2</v>
      </c>
    </row>
    <row r="449" spans="1:7" x14ac:dyDescent="0.25">
      <c r="A449" s="28">
        <v>46188</v>
      </c>
      <c r="B449" s="29">
        <v>4328</v>
      </c>
      <c r="C449" s="21"/>
      <c r="D449" s="28">
        <v>46231</v>
      </c>
      <c r="E449" s="29">
        <v>3205.8</v>
      </c>
      <c r="F449" s="18">
        <f t="shared" si="12"/>
        <v>446082.04057753441</v>
      </c>
      <c r="G449" s="2">
        <f t="shared" si="13"/>
        <v>2.4972242544894271E-2</v>
      </c>
    </row>
    <row r="450" spans="1:7" x14ac:dyDescent="0.25">
      <c r="A450" s="28">
        <v>46189</v>
      </c>
      <c r="B450" s="29">
        <v>4330.89990234375</v>
      </c>
      <c r="C450" s="21"/>
      <c r="D450" s="28">
        <v>46232</v>
      </c>
      <c r="E450" s="29">
        <v>3205.87</v>
      </c>
      <c r="F450" s="18">
        <f t="shared" si="12"/>
        <v>446390.67713249207</v>
      </c>
      <c r="G450" s="2">
        <f t="shared" si="13"/>
        <v>6.9164370212495348E-4</v>
      </c>
    </row>
    <row r="451" spans="1:7" x14ac:dyDescent="0.25">
      <c r="A451" s="28">
        <v>46190</v>
      </c>
      <c r="B451" s="29">
        <v>4358.89990234375</v>
      </c>
      <c r="C451" s="21"/>
      <c r="D451" s="28">
        <v>46233</v>
      </c>
      <c r="E451" s="29">
        <v>3206.18</v>
      </c>
      <c r="F451" s="18">
        <f t="shared" ref="F451:F473" si="14">(B451*E451)/$J$2</f>
        <v>449320.1123064314</v>
      </c>
      <c r="G451" s="2">
        <f t="shared" ref="G451:G473" si="15">LN(F451/F450)</f>
        <v>6.5410524316973076E-3</v>
      </c>
    </row>
    <row r="452" spans="1:7" x14ac:dyDescent="0.25">
      <c r="A452" s="28">
        <v>46191</v>
      </c>
      <c r="B452" s="29">
        <v>4224.10009765625</v>
      </c>
      <c r="C452" s="21"/>
      <c r="D452" s="28">
        <v>46234</v>
      </c>
      <c r="E452" s="29">
        <v>3132.42</v>
      </c>
      <c r="F452" s="18">
        <f t="shared" si="14"/>
        <v>425407.60677598562</v>
      </c>
      <c r="G452" s="2">
        <f t="shared" si="15"/>
        <v>-5.4687794647797112E-2</v>
      </c>
    </row>
    <row r="453" spans="1:7" x14ac:dyDescent="0.25">
      <c r="A453" s="28">
        <v>46195</v>
      </c>
      <c r="B453" s="29">
        <v>4181.89990234375</v>
      </c>
      <c r="C453" s="21"/>
      <c r="D453" s="28">
        <v>46235</v>
      </c>
      <c r="E453" s="29">
        <v>3144.14</v>
      </c>
      <c r="F453" s="18">
        <f t="shared" si="14"/>
        <v>422733.40834215289</v>
      </c>
      <c r="G453" s="2">
        <f t="shared" si="15"/>
        <v>-6.3060440376060305E-3</v>
      </c>
    </row>
    <row r="454" spans="1:7" x14ac:dyDescent="0.25">
      <c r="A454" s="28">
        <v>46196</v>
      </c>
      <c r="B454" s="29">
        <v>4129.89990234375</v>
      </c>
      <c r="C454" s="21"/>
      <c r="D454" s="28">
        <v>46238</v>
      </c>
      <c r="E454" s="29">
        <v>3230.44</v>
      </c>
      <c r="F454" s="18">
        <f t="shared" si="14"/>
        <v>428935.77223904902</v>
      </c>
      <c r="G454" s="2">
        <f t="shared" si="15"/>
        <v>1.4565452623626565E-2</v>
      </c>
    </row>
    <row r="455" spans="1:7" x14ac:dyDescent="0.25">
      <c r="A455" s="28">
        <v>46197</v>
      </c>
      <c r="B455" s="29">
        <v>3990.300048828125</v>
      </c>
      <c r="C455" s="21"/>
      <c r="D455" s="28">
        <v>46239</v>
      </c>
      <c r="E455" s="29">
        <v>3204.51</v>
      </c>
      <c r="F455" s="18">
        <f t="shared" si="14"/>
        <v>411110.19490497012</v>
      </c>
      <c r="G455" s="2">
        <f t="shared" si="15"/>
        <v>-4.2445899975025882E-2</v>
      </c>
    </row>
    <row r="456" spans="1:7" x14ac:dyDescent="0.25">
      <c r="A456" s="28">
        <v>46198</v>
      </c>
      <c r="B456" s="29">
        <v>4030.5</v>
      </c>
      <c r="C456" s="21"/>
      <c r="D456" s="28">
        <v>46240</v>
      </c>
      <c r="E456" s="29">
        <v>3179.4</v>
      </c>
      <c r="F456" s="18">
        <f t="shared" si="14"/>
        <v>411998.04711221228</v>
      </c>
      <c r="G456" s="2">
        <f t="shared" si="15"/>
        <v>2.157316635309266E-3</v>
      </c>
    </row>
    <row r="457" spans="1:7" x14ac:dyDescent="0.25">
      <c r="A457" s="28">
        <v>46199</v>
      </c>
      <c r="B457" s="29">
        <v>4078.699951171875</v>
      </c>
      <c r="C457" s="21"/>
      <c r="D457" s="28">
        <v>46241</v>
      </c>
      <c r="E457" s="29">
        <v>3157.43</v>
      </c>
      <c r="F457" s="18">
        <f t="shared" si="14"/>
        <v>414044.05268380197</v>
      </c>
      <c r="G457" s="2">
        <f t="shared" si="15"/>
        <v>4.9537662938500954E-3</v>
      </c>
    </row>
    <row r="458" spans="1:7" x14ac:dyDescent="0.25">
      <c r="A458" s="28">
        <v>46202</v>
      </c>
      <c r="B458" s="29">
        <v>4022.300048828125</v>
      </c>
      <c r="C458" s="21"/>
      <c r="D458" s="28">
        <v>46245</v>
      </c>
      <c r="E458" s="29">
        <v>3125.47</v>
      </c>
      <c r="F458" s="18">
        <f t="shared" si="14"/>
        <v>404185.62254142726</v>
      </c>
      <c r="G458" s="2">
        <f t="shared" si="15"/>
        <v>-2.4098141436107303E-2</v>
      </c>
    </row>
    <row r="459" spans="1:7" x14ac:dyDescent="0.25">
      <c r="A459" s="28">
        <v>46203</v>
      </c>
      <c r="B459" s="29">
        <v>4022.89990234375</v>
      </c>
      <c r="C459" s="21"/>
      <c r="D459" s="28">
        <v>46246</v>
      </c>
      <c r="E459" s="29">
        <v>3121.07</v>
      </c>
      <c r="F459" s="18">
        <f t="shared" si="14"/>
        <v>403676.80690307933</v>
      </c>
      <c r="G459" s="2">
        <f t="shared" si="15"/>
        <v>-1.2596592862418822E-3</v>
      </c>
    </row>
    <row r="460" spans="1:7" x14ac:dyDescent="0.25">
      <c r="A460" s="28">
        <v>46204</v>
      </c>
      <c r="B460" s="29">
        <v>4068.300048828125</v>
      </c>
      <c r="C460" s="21"/>
      <c r="D460" s="28">
        <v>46247</v>
      </c>
      <c r="E460" s="29">
        <v>3123.28</v>
      </c>
      <c r="F460" s="18">
        <f t="shared" si="14"/>
        <v>408521.53790420975</v>
      </c>
      <c r="G460" s="2">
        <f t="shared" si="15"/>
        <v>1.1930062386996246E-2</v>
      </c>
    </row>
    <row r="461" spans="1:7" x14ac:dyDescent="0.25">
      <c r="A461" s="28">
        <v>46205</v>
      </c>
      <c r="B461" s="29">
        <v>4112.7001953125</v>
      </c>
      <c r="C461" s="21"/>
      <c r="D461" s="28">
        <v>46248</v>
      </c>
      <c r="E461" s="29">
        <v>3127.51</v>
      </c>
      <c r="F461" s="18">
        <f t="shared" si="14"/>
        <v>413539.33100629441</v>
      </c>
      <c r="G461" s="2">
        <f t="shared" si="15"/>
        <v>1.2207989969131465E-2</v>
      </c>
    </row>
    <row r="462" spans="1:7" x14ac:dyDescent="0.25">
      <c r="A462" s="28">
        <v>46209</v>
      </c>
      <c r="B462" s="29">
        <v>4155.10009765625</v>
      </c>
      <c r="C462" s="21"/>
      <c r="D462" s="28">
        <v>46249</v>
      </c>
      <c r="E462" s="29">
        <v>3128.65</v>
      </c>
      <c r="F462" s="18">
        <f t="shared" si="14"/>
        <v>417955.00882821647</v>
      </c>
      <c r="G462" s="2">
        <f t="shared" si="15"/>
        <v>1.0621165102484361E-2</v>
      </c>
    </row>
    <row r="463" spans="1:7" x14ac:dyDescent="0.25">
      <c r="A463" s="28">
        <v>46210</v>
      </c>
      <c r="B463" s="29">
        <v>4145.2998046875</v>
      </c>
      <c r="C463" s="21"/>
      <c r="D463" s="28">
        <v>46253</v>
      </c>
      <c r="E463" s="29">
        <v>3098.79</v>
      </c>
      <c r="F463" s="18">
        <f t="shared" si="14"/>
        <v>412989.6366366212</v>
      </c>
      <c r="G463" s="2">
        <f t="shared" si="15"/>
        <v>-1.1951292592839401E-2</v>
      </c>
    </row>
    <row r="464" spans="1:7" x14ac:dyDescent="0.25">
      <c r="A464" s="28">
        <v>46211</v>
      </c>
      <c r="B464" s="29">
        <v>4070.89990234375</v>
      </c>
      <c r="C464" s="21"/>
      <c r="D464" s="28">
        <v>46254</v>
      </c>
      <c r="E464" s="29">
        <v>3053.48</v>
      </c>
      <c r="F464" s="18">
        <f t="shared" si="14"/>
        <v>399647.00775215565</v>
      </c>
      <c r="G464" s="2">
        <f t="shared" si="15"/>
        <v>-3.2840822883550225E-2</v>
      </c>
    </row>
    <row r="465" spans="1:7" x14ac:dyDescent="0.25">
      <c r="A465" s="28">
        <v>46212</v>
      </c>
      <c r="B465" s="29">
        <v>4130.60009765625</v>
      </c>
      <c r="C465" s="21"/>
      <c r="D465" s="28">
        <v>46255</v>
      </c>
      <c r="E465" s="29">
        <v>3062.96</v>
      </c>
      <c r="F465" s="18">
        <f t="shared" si="14"/>
        <v>406766.83691892569</v>
      </c>
      <c r="G465" s="2">
        <f t="shared" si="15"/>
        <v>1.7658462146656707E-2</v>
      </c>
    </row>
    <row r="466" spans="1:7" x14ac:dyDescent="0.25">
      <c r="A466" s="28">
        <v>46213</v>
      </c>
      <c r="B466" s="29">
        <v>4104.10009765625</v>
      </c>
      <c r="C466" s="21"/>
      <c r="D466" s="28">
        <v>46256</v>
      </c>
      <c r="E466" s="29">
        <v>3048.12</v>
      </c>
      <c r="F466" s="18">
        <f t="shared" si="14"/>
        <v>402199.0747242755</v>
      </c>
      <c r="G466" s="2">
        <f t="shared" si="15"/>
        <v>-1.1292962220226209E-2</v>
      </c>
    </row>
    <row r="467" spans="1:7" x14ac:dyDescent="0.25">
      <c r="A467" s="28">
        <v>46216</v>
      </c>
      <c r="B467" s="29">
        <v>3997</v>
      </c>
      <c r="C467" s="21"/>
      <c r="D467" s="28">
        <v>46259</v>
      </c>
      <c r="E467" s="29">
        <v>3056.51</v>
      </c>
      <c r="F467" s="18">
        <f t="shared" si="14"/>
        <v>392781.50634272501</v>
      </c>
      <c r="G467" s="2">
        <f t="shared" si="15"/>
        <v>-2.3693683039814433E-2</v>
      </c>
    </row>
    <row r="468" spans="1:7" x14ac:dyDescent="0.25">
      <c r="A468" s="28">
        <v>46217</v>
      </c>
      <c r="B468" s="29">
        <v>4061.10009765625</v>
      </c>
      <c r="C468" s="21"/>
      <c r="D468" s="28">
        <v>46260</v>
      </c>
      <c r="E468" s="29">
        <v>3081.67</v>
      </c>
      <c r="F468" s="18">
        <f t="shared" si="14"/>
        <v>402365.63964914484</v>
      </c>
      <c r="G468" s="2">
        <f t="shared" si="15"/>
        <v>2.4107732834127624E-2</v>
      </c>
    </row>
    <row r="469" spans="1:7" x14ac:dyDescent="0.25">
      <c r="A469" s="28">
        <v>46218</v>
      </c>
      <c r="B469" s="29">
        <v>4044</v>
      </c>
      <c r="C469" s="21"/>
      <c r="D469" s="28">
        <v>46261</v>
      </c>
      <c r="E469" s="29">
        <v>3118.24</v>
      </c>
      <c r="F469" s="18">
        <f t="shared" si="14"/>
        <v>405426.140655761</v>
      </c>
      <c r="G469" s="2">
        <f t="shared" si="15"/>
        <v>7.5774864891817468E-3</v>
      </c>
    </row>
    <row r="470" spans="1:7" x14ac:dyDescent="0.25">
      <c r="A470" s="28">
        <v>46219</v>
      </c>
      <c r="B470" s="29">
        <v>3985.60009765625</v>
      </c>
      <c r="C470" s="21"/>
      <c r="D470" s="28">
        <v>46262</v>
      </c>
      <c r="E470" s="29">
        <v>3144.28</v>
      </c>
      <c r="F470" s="18">
        <f t="shared" si="14"/>
        <v>402908.09788372577</v>
      </c>
      <c r="G470" s="2">
        <f t="shared" si="15"/>
        <v>-6.230222096094448E-3</v>
      </c>
    </row>
    <row r="471" spans="1:7" x14ac:dyDescent="0.25">
      <c r="A471" s="28">
        <v>46220</v>
      </c>
      <c r="B471" s="29">
        <v>4012.699951171875</v>
      </c>
      <c r="C471" s="21"/>
      <c r="D471" s="28">
        <v>46263</v>
      </c>
      <c r="E471" s="29">
        <v>3202.79</v>
      </c>
      <c r="F471" s="18">
        <f t="shared" si="14"/>
        <v>413196.09892016219</v>
      </c>
      <c r="G471" s="2">
        <f t="shared" si="15"/>
        <v>2.5213805072059399E-2</v>
      </c>
    </row>
    <row r="472" spans="1:7" x14ac:dyDescent="0.25">
      <c r="A472" s="28">
        <v>46223</v>
      </c>
      <c r="B472" s="29">
        <v>4010.300048828125</v>
      </c>
      <c r="C472" s="21"/>
      <c r="D472" s="28">
        <v>46266</v>
      </c>
      <c r="E472" s="29">
        <v>3213.97</v>
      </c>
      <c r="F472" s="18">
        <f t="shared" si="14"/>
        <v>414390.45965215465</v>
      </c>
      <c r="G472" s="2">
        <f t="shared" si="15"/>
        <v>2.8863725463406293E-3</v>
      </c>
    </row>
    <row r="473" spans="1:7" x14ac:dyDescent="0.25">
      <c r="A473" s="28">
        <v>46224</v>
      </c>
      <c r="B473" s="29">
        <v>4071.10009765625</v>
      </c>
      <c r="C473" s="21"/>
      <c r="D473" s="32">
        <v>46267</v>
      </c>
      <c r="E473" s="33">
        <v>3184</v>
      </c>
      <c r="F473" s="18">
        <f t="shared" si="14"/>
        <v>416750.28146491648</v>
      </c>
      <c r="G473" s="2">
        <f t="shared" si="15"/>
        <v>5.6785284060538663E-3</v>
      </c>
    </row>
    <row r="474" spans="1:7" x14ac:dyDescent="0.25">
      <c r="A474" s="28">
        <v>46225</v>
      </c>
      <c r="B474" s="29">
        <v>4146.89990234375</v>
      </c>
      <c r="D474" s="20"/>
      <c r="F474" s="25"/>
    </row>
    <row r="475" spans="1:7" x14ac:dyDescent="0.25">
      <c r="A475" s="28">
        <v>46226</v>
      </c>
      <c r="B475" s="29">
        <v>4046.60009765625</v>
      </c>
    </row>
    <row r="476" spans="1:7" x14ac:dyDescent="0.25">
      <c r="A476" s="28">
        <v>46227</v>
      </c>
      <c r="B476" s="29">
        <v>4067.60009765625</v>
      </c>
    </row>
    <row r="477" spans="1:7" x14ac:dyDescent="0.25">
      <c r="A477" s="28">
        <v>46230</v>
      </c>
      <c r="B477" s="29">
        <v>4074.5</v>
      </c>
    </row>
    <row r="478" spans="1:7" x14ac:dyDescent="0.25">
      <c r="A478" s="28">
        <v>46231</v>
      </c>
      <c r="B478" s="29">
        <v>4036.300048828125</v>
      </c>
    </row>
    <row r="479" spans="1:7" x14ac:dyDescent="0.25">
      <c r="A479" s="28">
        <v>46232</v>
      </c>
      <c r="B479" s="29">
        <v>4034.699951171875</v>
      </c>
    </row>
    <row r="480" spans="1:7" x14ac:dyDescent="0.25">
      <c r="A480" s="28">
        <v>46233</v>
      </c>
      <c r="B480" s="29">
        <v>4100.10009765625</v>
      </c>
    </row>
    <row r="481" spans="1:2" x14ac:dyDescent="0.25">
      <c r="A481" s="28">
        <v>46234</v>
      </c>
      <c r="B481" s="29">
        <v>4049.10009765625</v>
      </c>
    </row>
    <row r="482" spans="1:2" x14ac:dyDescent="0.25">
      <c r="A482" s="28">
        <v>46237</v>
      </c>
      <c r="B482" s="29">
        <v>4033.699951171875</v>
      </c>
    </row>
    <row r="483" spans="1:2" x14ac:dyDescent="0.25">
      <c r="A483" s="28">
        <v>46238</v>
      </c>
      <c r="B483" s="29">
        <v>4095.39990234375</v>
      </c>
    </row>
    <row r="484" spans="1:2" x14ac:dyDescent="0.25">
      <c r="A484" s="28">
        <v>46239</v>
      </c>
      <c r="B484" s="29">
        <v>4245.7998046875</v>
      </c>
    </row>
    <row r="485" spans="1:2" x14ac:dyDescent="0.25">
      <c r="A485" s="28">
        <v>46240</v>
      </c>
      <c r="B485" s="29">
        <v>4242</v>
      </c>
    </row>
    <row r="486" spans="1:2" x14ac:dyDescent="0.25">
      <c r="A486" s="28">
        <v>46241</v>
      </c>
      <c r="B486" s="29">
        <v>4340.7001953125</v>
      </c>
    </row>
    <row r="487" spans="1:2" x14ac:dyDescent="0.25">
      <c r="A487" s="28">
        <v>46244</v>
      </c>
      <c r="B487" s="29">
        <v>4361.7998046875</v>
      </c>
    </row>
    <row r="488" spans="1:2" x14ac:dyDescent="0.25">
      <c r="A488" s="28">
        <v>46245</v>
      </c>
      <c r="B488" s="29">
        <v>4383</v>
      </c>
    </row>
    <row r="489" spans="1:2" x14ac:dyDescent="0.25">
      <c r="A489" s="28">
        <v>46246</v>
      </c>
      <c r="B489" s="29">
        <v>4408.89990234375</v>
      </c>
    </row>
    <row r="490" spans="1:2" x14ac:dyDescent="0.25">
      <c r="A490" s="28">
        <v>46247</v>
      </c>
      <c r="B490" s="29">
        <v>4363.60009765625</v>
      </c>
    </row>
    <row r="491" spans="1:2" x14ac:dyDescent="0.25">
      <c r="A491" s="28">
        <v>46248</v>
      </c>
      <c r="B491" s="29">
        <v>4380.39990234375</v>
      </c>
    </row>
    <row r="492" spans="1:2" x14ac:dyDescent="0.25">
      <c r="A492" s="28">
        <v>46251</v>
      </c>
      <c r="B492" s="29">
        <v>4417.7998046875</v>
      </c>
    </row>
    <row r="493" spans="1:2" x14ac:dyDescent="0.25">
      <c r="A493" s="28">
        <v>46252</v>
      </c>
      <c r="B493" s="29">
        <v>4366</v>
      </c>
    </row>
    <row r="494" spans="1:2" x14ac:dyDescent="0.25">
      <c r="A494" s="28">
        <v>46253</v>
      </c>
      <c r="B494" s="29">
        <v>4489.39990234375</v>
      </c>
    </row>
    <row r="495" spans="1:2" x14ac:dyDescent="0.25">
      <c r="A495" s="28">
        <v>46254</v>
      </c>
      <c r="B495" s="29">
        <v>4516.2998046875</v>
      </c>
    </row>
    <row r="496" spans="1:2" x14ac:dyDescent="0.25">
      <c r="A496" s="28">
        <v>46255</v>
      </c>
      <c r="B496" s="29">
        <v>4624.10009765625</v>
      </c>
    </row>
    <row r="497" spans="1:2" x14ac:dyDescent="0.25">
      <c r="A497" s="28">
        <v>46258</v>
      </c>
      <c r="B497" s="29">
        <v>4640.7998046875</v>
      </c>
    </row>
    <row r="498" spans="1:2" x14ac:dyDescent="0.25">
      <c r="A498" s="28">
        <v>46259</v>
      </c>
      <c r="B498" s="29">
        <v>4638.10009765625</v>
      </c>
    </row>
    <row r="499" spans="1:2" x14ac:dyDescent="0.25">
      <c r="A499" s="28">
        <v>46260</v>
      </c>
      <c r="B499" s="29">
        <v>4598.2001953125</v>
      </c>
    </row>
    <row r="500" spans="1:2" x14ac:dyDescent="0.25">
      <c r="A500" s="28">
        <v>46261</v>
      </c>
      <c r="B500" s="29">
        <v>4609.7001953125</v>
      </c>
    </row>
    <row r="501" spans="1:2" x14ac:dyDescent="0.25">
      <c r="A501" s="28">
        <v>46262</v>
      </c>
      <c r="B501" s="29">
        <v>4478.10009765625</v>
      </c>
    </row>
    <row r="502" spans="1:2" x14ac:dyDescent="0.25">
      <c r="A502" s="28">
        <v>46265</v>
      </c>
      <c r="B502" s="29">
        <v>4431.10009765625</v>
      </c>
    </row>
    <row r="503" spans="1:2" x14ac:dyDescent="0.25">
      <c r="A503" s="28">
        <v>46266</v>
      </c>
      <c r="B503" s="29">
        <v>4348</v>
      </c>
    </row>
    <row r="504" spans="1:2" x14ac:dyDescent="0.25">
      <c r="A504" s="32">
        <v>46266</v>
      </c>
      <c r="B504" s="33">
        <v>4348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1583-A59B-49C2-95CD-2267991D56CF}">
  <dimension ref="A1:Q504"/>
  <sheetViews>
    <sheetView workbookViewId="0">
      <selection activeCell="H473" sqref="H1:K473"/>
    </sheetView>
  </sheetViews>
  <sheetFormatPr defaultRowHeight="15" x14ac:dyDescent="0.25"/>
  <cols>
    <col min="1" max="1" width="10.42578125" bestFit="1" customWidth="1"/>
    <col min="2" max="2" width="15" bestFit="1" customWidth="1"/>
    <col min="4" max="4" width="10.42578125" bestFit="1" customWidth="1"/>
    <col min="9" max="9" width="10.42578125" bestFit="1" customWidth="1"/>
    <col min="10" max="10" width="20" customWidth="1"/>
    <col min="11" max="11" width="12.5703125" bestFit="1" customWidth="1"/>
  </cols>
  <sheetData>
    <row r="1" spans="1:17" x14ac:dyDescent="0.25">
      <c r="A1" s="26" t="s">
        <v>11</v>
      </c>
      <c r="B1" s="27" t="s">
        <v>12</v>
      </c>
      <c r="D1" s="26" t="s">
        <v>14</v>
      </c>
      <c r="E1" s="27" t="s">
        <v>13</v>
      </c>
      <c r="I1" s="54" t="s">
        <v>38</v>
      </c>
      <c r="J1" t="s">
        <v>39</v>
      </c>
      <c r="K1" t="s">
        <v>40</v>
      </c>
      <c r="L1" t="s">
        <v>41</v>
      </c>
    </row>
    <row r="2" spans="1:17" x14ac:dyDescent="0.25">
      <c r="A2" s="28">
        <v>45539</v>
      </c>
      <c r="B2" s="29">
        <v>2493.39990234375</v>
      </c>
      <c r="D2" s="28">
        <v>45539</v>
      </c>
      <c r="E2" s="29">
        <v>4185.8</v>
      </c>
      <c r="I2" s="53">
        <v>45539</v>
      </c>
      <c r="J2" s="55">
        <f>E2*_xlfn.XLOOKUP(I2,$A$2:$A$504,$B$2:$B$504)</f>
        <v>10436873.311230469</v>
      </c>
      <c r="K2" s="55">
        <f>J2/$Q$2</f>
        <v>335553.26879824797</v>
      </c>
      <c r="Q2" s="2">
        <v>31.103476799999999</v>
      </c>
    </row>
    <row r="3" spans="1:17" x14ac:dyDescent="0.25">
      <c r="A3" s="28">
        <v>45540</v>
      </c>
      <c r="B3" s="29">
        <v>2511.39990234375</v>
      </c>
      <c r="D3" s="28">
        <v>45540</v>
      </c>
      <c r="E3" s="29">
        <v>4185.82</v>
      </c>
      <c r="I3" s="53">
        <v>45540</v>
      </c>
      <c r="J3" s="55">
        <f t="shared" ref="J3:J66" si="0">E3*_xlfn.XLOOKUP(I3,$A$2:$A$504,$B$2:$B$504)</f>
        <v>10512267.939228514</v>
      </c>
      <c r="K3" s="55">
        <f>J3/$Q$2</f>
        <v>337977.26237564906</v>
      </c>
    </row>
    <row r="4" spans="1:17" x14ac:dyDescent="0.25">
      <c r="A4" s="28">
        <v>45541</v>
      </c>
      <c r="B4" s="29">
        <v>2493.5</v>
      </c>
      <c r="D4" s="28">
        <v>45541</v>
      </c>
      <c r="E4" s="29">
        <v>4172.5</v>
      </c>
      <c r="I4" s="53">
        <v>45541</v>
      </c>
      <c r="J4" s="55">
        <f t="shared" si="0"/>
        <v>10404128.75</v>
      </c>
      <c r="K4" s="55">
        <f>J4/$Q$2</f>
        <v>334500.50670862623</v>
      </c>
    </row>
    <row r="5" spans="1:17" x14ac:dyDescent="0.25">
      <c r="A5" s="28">
        <v>45544</v>
      </c>
      <c r="B5" s="29">
        <v>2501.800048828125</v>
      </c>
      <c r="D5" s="28">
        <v>45542</v>
      </c>
      <c r="E5" s="29">
        <v>4149.79</v>
      </c>
      <c r="I5" s="53"/>
      <c r="J5" s="55"/>
      <c r="K5" s="55"/>
    </row>
    <row r="6" spans="1:17" x14ac:dyDescent="0.25">
      <c r="A6" s="28">
        <v>45545</v>
      </c>
      <c r="B6" s="29">
        <v>2512.300048828125</v>
      </c>
      <c r="D6" s="28">
        <v>45545</v>
      </c>
      <c r="E6" s="29">
        <v>4220.68</v>
      </c>
      <c r="I6" s="53">
        <v>45545</v>
      </c>
      <c r="J6" s="55">
        <f t="shared" si="0"/>
        <v>10603614.570087891</v>
      </c>
      <c r="K6" s="55">
        <f>J6/$Q$2</f>
        <v>340914.12475430692</v>
      </c>
    </row>
    <row r="7" spans="1:17" x14ac:dyDescent="0.25">
      <c r="A7" s="28">
        <v>45546</v>
      </c>
      <c r="B7" s="29">
        <v>2512.10009765625</v>
      </c>
      <c r="D7" s="28">
        <v>45546</v>
      </c>
      <c r="E7" s="29">
        <v>4285.6099999999997</v>
      </c>
      <c r="I7" s="53">
        <v>45546</v>
      </c>
      <c r="J7" s="55">
        <f t="shared" si="0"/>
        <v>10765881.299516601</v>
      </c>
      <c r="K7" s="55">
        <f>J7/$Q$2</f>
        <v>346131.12124868954</v>
      </c>
    </row>
    <row r="8" spans="1:17" x14ac:dyDescent="0.25">
      <c r="A8" s="28">
        <v>45547</v>
      </c>
      <c r="B8" s="29">
        <v>2551.199951171875</v>
      </c>
      <c r="D8" s="28">
        <v>45547</v>
      </c>
      <c r="E8" s="29">
        <v>4278.28</v>
      </c>
      <c r="I8" s="53">
        <v>45547</v>
      </c>
      <c r="J8" s="55">
        <f t="shared" si="0"/>
        <v>10914747.727099609</v>
      </c>
      <c r="K8" s="55">
        <f>J8/$Q$2</f>
        <v>350917.28803448781</v>
      </c>
    </row>
    <row r="9" spans="1:17" x14ac:dyDescent="0.25">
      <c r="A9" s="28">
        <v>45548</v>
      </c>
      <c r="B9" s="29">
        <v>2581.300048828125</v>
      </c>
      <c r="D9" s="28">
        <v>45548</v>
      </c>
      <c r="E9" s="29">
        <v>4236.63</v>
      </c>
      <c r="I9" s="53">
        <v>45548</v>
      </c>
      <c r="J9" s="55">
        <f t="shared" si="0"/>
        <v>10936013.2258667</v>
      </c>
      <c r="K9" s="55">
        <f>J9/$Q$2</f>
        <v>351600.98969600402</v>
      </c>
    </row>
    <row r="10" spans="1:17" x14ac:dyDescent="0.25">
      <c r="A10" s="28">
        <v>45551</v>
      </c>
      <c r="B10" s="29">
        <v>2580.39990234375</v>
      </c>
      <c r="D10" s="28">
        <v>45549</v>
      </c>
      <c r="E10" s="29">
        <v>4172.13</v>
      </c>
      <c r="I10" s="53"/>
      <c r="J10" s="55"/>
      <c r="K10" s="55"/>
    </row>
    <row r="11" spans="1:17" x14ac:dyDescent="0.25">
      <c r="A11" s="28">
        <v>45552</v>
      </c>
      <c r="B11" s="29">
        <v>2564.300048828125</v>
      </c>
      <c r="D11" s="28">
        <v>45552</v>
      </c>
      <c r="E11" s="29">
        <v>4220.58</v>
      </c>
      <c r="I11" s="53">
        <v>45552</v>
      </c>
      <c r="J11" s="55">
        <f t="shared" si="0"/>
        <v>10822833.500083007</v>
      </c>
      <c r="K11" s="55">
        <f>J11/$Q$2</f>
        <v>347962.1770156257</v>
      </c>
    </row>
    <row r="12" spans="1:17" x14ac:dyDescent="0.25">
      <c r="A12" s="28">
        <v>45553</v>
      </c>
      <c r="B12" s="29">
        <v>2570.699951171875</v>
      </c>
      <c r="D12" s="28">
        <v>45553</v>
      </c>
      <c r="E12" s="29">
        <v>4239.33</v>
      </c>
      <c r="I12" s="53">
        <v>45553</v>
      </c>
      <c r="J12" s="55">
        <f t="shared" si="0"/>
        <v>10898045.424001465</v>
      </c>
      <c r="K12" s="55">
        <f>J12/$Q$2</f>
        <v>350380.29652046697</v>
      </c>
    </row>
    <row r="13" spans="1:17" x14ac:dyDescent="0.25">
      <c r="A13" s="28">
        <v>45554</v>
      </c>
      <c r="B13" s="29">
        <v>2588</v>
      </c>
      <c r="D13" s="28">
        <v>45554</v>
      </c>
      <c r="E13" s="29">
        <v>4189.46</v>
      </c>
      <c r="I13" s="53">
        <v>45554</v>
      </c>
      <c r="J13" s="55">
        <f t="shared" si="0"/>
        <v>10842322.48</v>
      </c>
      <c r="K13" s="55">
        <f>J13/$Q$2</f>
        <v>348588.76226981805</v>
      </c>
    </row>
    <row r="14" spans="1:17" x14ac:dyDescent="0.25">
      <c r="A14" s="28">
        <v>45555</v>
      </c>
      <c r="B14" s="29">
        <v>2619.89990234375</v>
      </c>
      <c r="D14" s="28">
        <v>45555</v>
      </c>
      <c r="E14" s="29">
        <v>4175.1000000000004</v>
      </c>
      <c r="I14" s="53">
        <v>45555</v>
      </c>
      <c r="J14" s="55">
        <f t="shared" si="0"/>
        <v>10938344.082275392</v>
      </c>
      <c r="K14" s="55">
        <f>J14/$Q$2</f>
        <v>351675.92846968776</v>
      </c>
    </row>
    <row r="15" spans="1:17" x14ac:dyDescent="0.25">
      <c r="A15" s="28">
        <v>45558</v>
      </c>
      <c r="B15" s="29">
        <v>2626.5</v>
      </c>
      <c r="D15" s="28">
        <v>45556</v>
      </c>
      <c r="E15" s="29">
        <v>4156.8900000000003</v>
      </c>
      <c r="I15" s="53"/>
      <c r="J15" s="55"/>
      <c r="K15" s="55"/>
    </row>
    <row r="16" spans="1:17" x14ac:dyDescent="0.25">
      <c r="A16" s="28">
        <v>45559</v>
      </c>
      <c r="B16" s="29">
        <v>2651.199951171875</v>
      </c>
      <c r="D16" s="28">
        <v>45559</v>
      </c>
      <c r="E16" s="29">
        <v>4155.3100000000004</v>
      </c>
      <c r="I16" s="53">
        <v>45559</v>
      </c>
      <c r="J16" s="55">
        <f t="shared" si="0"/>
        <v>11016557.669104004</v>
      </c>
      <c r="K16" s="55">
        <f>J16/$Q$2</f>
        <v>354190.55367803783</v>
      </c>
    </row>
    <row r="17" spans="1:11" x14ac:dyDescent="0.25">
      <c r="A17" s="28">
        <v>45560</v>
      </c>
      <c r="B17" s="29">
        <v>2659.199951171875</v>
      </c>
      <c r="D17" s="28">
        <v>45560</v>
      </c>
      <c r="E17" s="29">
        <v>4139.43</v>
      </c>
      <c r="I17" s="53">
        <v>45560</v>
      </c>
      <c r="J17" s="55">
        <f t="shared" si="0"/>
        <v>11007572.053879395</v>
      </c>
      <c r="K17" s="55">
        <f>J17/$Q$2</f>
        <v>353901.6594401882</v>
      </c>
    </row>
    <row r="18" spans="1:11" x14ac:dyDescent="0.25">
      <c r="A18" s="28">
        <v>45561</v>
      </c>
      <c r="B18" s="29">
        <v>2669.89990234375</v>
      </c>
      <c r="D18" s="28">
        <v>45561</v>
      </c>
      <c r="E18" s="29">
        <v>4192.74</v>
      </c>
      <c r="I18" s="53">
        <v>45561</v>
      </c>
      <c r="J18" s="55">
        <f t="shared" si="0"/>
        <v>11194196.116552733</v>
      </c>
      <c r="K18" s="55">
        <f>J18/$Q$2</f>
        <v>359901.76238280645</v>
      </c>
    </row>
    <row r="19" spans="1:11" x14ac:dyDescent="0.25">
      <c r="A19" s="28">
        <v>45562</v>
      </c>
      <c r="B19" s="29">
        <v>2644.300048828125</v>
      </c>
      <c r="D19" s="28">
        <v>45562</v>
      </c>
      <c r="E19" s="29">
        <v>4188.1099999999997</v>
      </c>
      <c r="I19" s="53">
        <v>45562</v>
      </c>
      <c r="J19" s="55">
        <f t="shared" si="0"/>
        <v>11074619.477497557</v>
      </c>
      <c r="K19" s="55">
        <f>J19/$Q$2</f>
        <v>356057.28416501521</v>
      </c>
    </row>
    <row r="20" spans="1:11" x14ac:dyDescent="0.25">
      <c r="A20" s="28">
        <v>45565</v>
      </c>
      <c r="B20" s="29">
        <v>2636.10009765625</v>
      </c>
      <c r="D20" s="28">
        <v>45563</v>
      </c>
      <c r="E20" s="29">
        <v>4164.21</v>
      </c>
      <c r="I20" s="53"/>
      <c r="J20" s="55"/>
      <c r="K20" s="55"/>
    </row>
    <row r="21" spans="1:11" x14ac:dyDescent="0.25">
      <c r="A21" s="28">
        <v>45566</v>
      </c>
      <c r="B21" s="29">
        <v>2667.300048828125</v>
      </c>
      <c r="D21" s="28">
        <v>45566</v>
      </c>
      <c r="E21" s="29">
        <v>4178.3</v>
      </c>
      <c r="I21" s="53">
        <v>45566</v>
      </c>
      <c r="J21" s="55">
        <f t="shared" si="0"/>
        <v>11144779.794018555</v>
      </c>
      <c r="K21" s="55">
        <f>J21/$Q$2</f>
        <v>358312.99072065653</v>
      </c>
    </row>
    <row r="22" spans="1:11" x14ac:dyDescent="0.25">
      <c r="A22" s="28">
        <v>45567</v>
      </c>
      <c r="B22" s="29">
        <v>2647.10009765625</v>
      </c>
      <c r="D22" s="28">
        <v>45567</v>
      </c>
      <c r="E22" s="29">
        <v>4224.21</v>
      </c>
      <c r="I22" s="53">
        <v>45567</v>
      </c>
      <c r="J22" s="55">
        <f t="shared" si="0"/>
        <v>11181906.703520508</v>
      </c>
      <c r="K22" s="55">
        <f>J22/$Q$2</f>
        <v>359506.64857893024</v>
      </c>
    </row>
    <row r="23" spans="1:11" x14ac:dyDescent="0.25">
      <c r="A23" s="28">
        <v>45568</v>
      </c>
      <c r="B23" s="29">
        <v>2657.10009765625</v>
      </c>
      <c r="D23" s="28">
        <v>45568</v>
      </c>
      <c r="E23" s="29">
        <v>4203.43</v>
      </c>
      <c r="I23" s="53">
        <v>45568</v>
      </c>
      <c r="J23" s="55">
        <f t="shared" si="0"/>
        <v>11168934.263491211</v>
      </c>
      <c r="K23" s="55">
        <f>J23/$Q$2</f>
        <v>359089.57494717155</v>
      </c>
    </row>
    <row r="24" spans="1:11" x14ac:dyDescent="0.25">
      <c r="A24" s="28">
        <v>45569</v>
      </c>
      <c r="B24" s="29">
        <v>2645.800048828125</v>
      </c>
      <c r="D24" s="28">
        <v>45569</v>
      </c>
      <c r="E24" s="29">
        <v>4197.7299999999996</v>
      </c>
      <c r="I24" s="53">
        <v>45569</v>
      </c>
      <c r="J24" s="55">
        <f t="shared" si="0"/>
        <v>11106354.238967285</v>
      </c>
      <c r="K24" s="55">
        <f>J24/$Q$2</f>
        <v>357077.58043844427</v>
      </c>
    </row>
    <row r="25" spans="1:11" x14ac:dyDescent="0.25">
      <c r="A25" s="28">
        <v>45572</v>
      </c>
      <c r="B25" s="29">
        <v>2644.800048828125</v>
      </c>
      <c r="D25" s="28">
        <v>45570</v>
      </c>
      <c r="E25" s="29">
        <v>4173.66</v>
      </c>
      <c r="I25" s="53"/>
      <c r="J25" s="55"/>
      <c r="K25" s="55"/>
    </row>
    <row r="26" spans="1:11" x14ac:dyDescent="0.25">
      <c r="A26" s="28">
        <v>45573</v>
      </c>
      <c r="B26" s="29">
        <v>2615</v>
      </c>
      <c r="D26" s="28">
        <v>45573</v>
      </c>
      <c r="E26" s="29">
        <v>4194.97</v>
      </c>
      <c r="I26" s="53">
        <v>45573</v>
      </c>
      <c r="J26" s="55">
        <f t="shared" si="0"/>
        <v>10969846.550000001</v>
      </c>
      <c r="K26" s="55">
        <f>J26/$Q$2</f>
        <v>352688.75632578804</v>
      </c>
    </row>
    <row r="27" spans="1:11" x14ac:dyDescent="0.25">
      <c r="A27" s="28">
        <v>45574</v>
      </c>
      <c r="B27" s="29">
        <v>2606</v>
      </c>
      <c r="D27" s="28">
        <v>45574</v>
      </c>
      <c r="E27" s="29">
        <v>4233.54</v>
      </c>
      <c r="I27" s="53">
        <v>45574</v>
      </c>
      <c r="J27" s="55">
        <f t="shared" si="0"/>
        <v>11032605.24</v>
      </c>
      <c r="K27" s="55">
        <f>J27/$Q$2</f>
        <v>354706.49506295711</v>
      </c>
    </row>
    <row r="28" spans="1:11" x14ac:dyDescent="0.25">
      <c r="A28" s="28">
        <v>45575</v>
      </c>
      <c r="B28" s="29">
        <v>2620.60009765625</v>
      </c>
      <c r="D28" s="28">
        <v>45575</v>
      </c>
      <c r="E28" s="29">
        <v>4233.17</v>
      </c>
      <c r="I28" s="53">
        <v>45575</v>
      </c>
      <c r="J28" s="55">
        <f t="shared" si="0"/>
        <v>11093445.715395508</v>
      </c>
      <c r="K28" s="55">
        <f>J28/$Q$2</f>
        <v>356662.56176851294</v>
      </c>
    </row>
    <row r="29" spans="1:11" x14ac:dyDescent="0.25">
      <c r="A29" s="28">
        <v>45576</v>
      </c>
      <c r="B29" s="29">
        <v>2657.60009765625</v>
      </c>
      <c r="D29" s="28">
        <v>45576</v>
      </c>
      <c r="E29" s="29">
        <v>4217.3999999999996</v>
      </c>
      <c r="I29" s="53">
        <v>45576</v>
      </c>
      <c r="J29" s="55">
        <f t="shared" si="0"/>
        <v>11208162.651855467</v>
      </c>
      <c r="K29" s="55">
        <f>J29/$Q$2</f>
        <v>360350.79691976646</v>
      </c>
    </row>
    <row r="30" spans="1:11" x14ac:dyDescent="0.25">
      <c r="A30" s="28">
        <v>45579</v>
      </c>
      <c r="B30" s="29">
        <v>2647.800048828125</v>
      </c>
      <c r="D30" s="28">
        <v>45577</v>
      </c>
      <c r="E30" s="29">
        <v>4192.5600000000004</v>
      </c>
      <c r="I30" s="53"/>
      <c r="J30" s="55"/>
      <c r="K30" s="55"/>
    </row>
    <row r="31" spans="1:11" x14ac:dyDescent="0.25">
      <c r="A31" s="28">
        <v>45580</v>
      </c>
      <c r="B31" s="29">
        <v>2661.39990234375</v>
      </c>
      <c r="D31" s="28">
        <v>45581</v>
      </c>
      <c r="E31" s="29">
        <v>4244.84</v>
      </c>
      <c r="I31" s="53">
        <v>45581</v>
      </c>
      <c r="J31" s="55">
        <f t="shared" si="0"/>
        <v>11350702.16</v>
      </c>
      <c r="K31" s="55">
        <f>J31/$Q$2</f>
        <v>364933.54852213821</v>
      </c>
    </row>
    <row r="32" spans="1:11" x14ac:dyDescent="0.25">
      <c r="A32" s="28">
        <v>45581</v>
      </c>
      <c r="B32" s="29">
        <v>2674</v>
      </c>
      <c r="D32" s="28">
        <v>45582</v>
      </c>
      <c r="E32" s="29">
        <v>4266.2</v>
      </c>
      <c r="I32" s="53">
        <v>45582</v>
      </c>
      <c r="J32" s="55">
        <f t="shared" si="0"/>
        <v>11480344.199999999</v>
      </c>
      <c r="K32" s="55">
        <f>J32/$Q$2</f>
        <v>369101.6368948181</v>
      </c>
    </row>
    <row r="33" spans="1:11" x14ac:dyDescent="0.25">
      <c r="A33" s="28">
        <v>45582</v>
      </c>
      <c r="B33" s="29">
        <v>2691</v>
      </c>
      <c r="D33" s="28">
        <v>45583</v>
      </c>
      <c r="E33" s="29">
        <v>4263.17</v>
      </c>
      <c r="I33" s="53">
        <v>45583</v>
      </c>
      <c r="J33" s="55">
        <f t="shared" si="0"/>
        <v>11568964.220837403</v>
      </c>
      <c r="K33" s="55">
        <f>J33/$Q$2</f>
        <v>371950.83672566805</v>
      </c>
    </row>
    <row r="34" spans="1:11" x14ac:dyDescent="0.25">
      <c r="A34" s="28">
        <v>45583</v>
      </c>
      <c r="B34" s="29">
        <v>2713.699951171875</v>
      </c>
      <c r="D34" s="28">
        <v>45584</v>
      </c>
      <c r="E34" s="29">
        <v>4252.1499999999996</v>
      </c>
      <c r="I34" s="53"/>
      <c r="J34" s="55"/>
      <c r="K34" s="55"/>
    </row>
    <row r="35" spans="1:11" x14ac:dyDescent="0.25">
      <c r="A35" s="28">
        <v>45586</v>
      </c>
      <c r="B35" s="29">
        <v>2723.10009765625</v>
      </c>
      <c r="D35" s="28">
        <v>45587</v>
      </c>
      <c r="E35" s="29">
        <v>4286.96</v>
      </c>
      <c r="I35" s="53">
        <v>45587</v>
      </c>
      <c r="J35" s="55">
        <f t="shared" si="0"/>
        <v>11764275.422675781</v>
      </c>
      <c r="K35" s="55">
        <f>J35/$Q$2</f>
        <v>378230.23767798784</v>
      </c>
    </row>
    <row r="36" spans="1:11" x14ac:dyDescent="0.25">
      <c r="A36" s="28">
        <v>45587</v>
      </c>
      <c r="B36" s="29">
        <v>2744.199951171875</v>
      </c>
      <c r="D36" s="28">
        <v>45588</v>
      </c>
      <c r="E36" s="29">
        <v>4262.3</v>
      </c>
      <c r="I36" s="53">
        <v>45588</v>
      </c>
      <c r="J36" s="55">
        <f t="shared" si="0"/>
        <v>11569586.703759765</v>
      </c>
      <c r="K36" s="55">
        <f>J36/$Q$2</f>
        <v>371970.85001634818</v>
      </c>
    </row>
    <row r="37" spans="1:11" x14ac:dyDescent="0.25">
      <c r="A37" s="28">
        <v>45588</v>
      </c>
      <c r="B37" s="29">
        <v>2714.39990234375</v>
      </c>
      <c r="D37" s="28">
        <v>45589</v>
      </c>
      <c r="E37" s="29">
        <v>4293.91</v>
      </c>
      <c r="I37" s="53">
        <v>45589</v>
      </c>
      <c r="J37" s="55">
        <f t="shared" si="0"/>
        <v>11743414.039672852</v>
      </c>
      <c r="K37" s="55">
        <f>J37/$Q$2</f>
        <v>377559.52863998961</v>
      </c>
    </row>
    <row r="38" spans="1:11" x14ac:dyDescent="0.25">
      <c r="A38" s="28">
        <v>45589</v>
      </c>
      <c r="B38" s="29">
        <v>2734.89990234375</v>
      </c>
      <c r="D38" s="28">
        <v>45590</v>
      </c>
      <c r="E38" s="29">
        <v>4311.83</v>
      </c>
      <c r="I38" s="53">
        <v>45590</v>
      </c>
      <c r="J38" s="55">
        <f t="shared" si="0"/>
        <v>11818294.425922852</v>
      </c>
      <c r="K38" s="55">
        <f>J38/$Q$2</f>
        <v>379966.98896127433</v>
      </c>
    </row>
    <row r="39" spans="1:11" x14ac:dyDescent="0.25">
      <c r="A39" s="28">
        <v>45590</v>
      </c>
      <c r="B39" s="29">
        <v>2740.89990234375</v>
      </c>
      <c r="D39" s="28">
        <v>45591</v>
      </c>
      <c r="E39" s="29">
        <v>4316.7299999999996</v>
      </c>
      <c r="I39" s="53"/>
      <c r="J39" s="55"/>
      <c r="K39" s="55"/>
    </row>
    <row r="40" spans="1:11" x14ac:dyDescent="0.25">
      <c r="A40" s="28">
        <v>45593</v>
      </c>
      <c r="B40" s="29">
        <v>2742.89990234375</v>
      </c>
      <c r="D40" s="28">
        <v>45594</v>
      </c>
      <c r="E40" s="29">
        <v>4342.8999999999996</v>
      </c>
      <c r="I40" s="53">
        <v>45594</v>
      </c>
      <c r="J40" s="55">
        <f t="shared" si="0"/>
        <v>12022883.93588867</v>
      </c>
      <c r="K40" s="55">
        <f>J40/$Q$2</f>
        <v>386544.69444678514</v>
      </c>
    </row>
    <row r="41" spans="1:11" x14ac:dyDescent="0.25">
      <c r="A41" s="28">
        <v>45594</v>
      </c>
      <c r="B41" s="29">
        <v>2768.39990234375</v>
      </c>
      <c r="D41" s="28">
        <v>45595</v>
      </c>
      <c r="E41" s="29">
        <v>4367.3900000000003</v>
      </c>
      <c r="I41" s="53">
        <v>45595</v>
      </c>
      <c r="J41" s="55">
        <f t="shared" si="0"/>
        <v>12178467.015000001</v>
      </c>
      <c r="K41" s="55">
        <f>J41/$Q$2</f>
        <v>391546.80659366032</v>
      </c>
    </row>
    <row r="42" spans="1:11" x14ac:dyDescent="0.25">
      <c r="A42" s="28">
        <v>45595</v>
      </c>
      <c r="B42" s="29">
        <v>2788.5</v>
      </c>
      <c r="D42" s="28">
        <v>45596</v>
      </c>
      <c r="E42" s="29">
        <v>4413.46</v>
      </c>
      <c r="I42" s="53">
        <v>45596</v>
      </c>
      <c r="J42" s="55">
        <f t="shared" si="0"/>
        <v>12085377.733500976</v>
      </c>
      <c r="K42" s="55">
        <f>J42/$Q$2</f>
        <v>388553.91669592954</v>
      </c>
    </row>
    <row r="43" spans="1:11" x14ac:dyDescent="0.25">
      <c r="A43" s="28">
        <v>45596</v>
      </c>
      <c r="B43" s="29">
        <v>2738.300048828125</v>
      </c>
      <c r="D43" s="28">
        <v>45597</v>
      </c>
      <c r="E43" s="29">
        <v>4409.57</v>
      </c>
      <c r="I43" s="53">
        <v>45597</v>
      </c>
      <c r="J43" s="55">
        <f t="shared" si="0"/>
        <v>12076048.83262207</v>
      </c>
      <c r="K43" s="55">
        <f>J43/$Q$2</f>
        <v>388253.98556800798</v>
      </c>
    </row>
    <row r="44" spans="1:11" x14ac:dyDescent="0.25">
      <c r="A44" s="28">
        <v>45597</v>
      </c>
      <c r="B44" s="29">
        <v>2738.60009765625</v>
      </c>
      <c r="D44" s="28">
        <v>45598</v>
      </c>
      <c r="E44" s="29">
        <v>4414</v>
      </c>
      <c r="I44" s="53"/>
      <c r="J44" s="55"/>
      <c r="K44" s="55"/>
    </row>
    <row r="45" spans="1:11" x14ac:dyDescent="0.25">
      <c r="A45" s="28">
        <v>45600</v>
      </c>
      <c r="B45" s="29">
        <v>2736.10009765625</v>
      </c>
      <c r="D45" s="28">
        <v>45602</v>
      </c>
      <c r="E45" s="29">
        <v>4421.8599999999997</v>
      </c>
      <c r="I45" s="53">
        <v>45602</v>
      </c>
      <c r="J45" s="55">
        <f t="shared" si="0"/>
        <v>11795754.167822264</v>
      </c>
      <c r="K45" s="55">
        <f>J45/$Q$2</f>
        <v>379242.30283549085</v>
      </c>
    </row>
    <row r="46" spans="1:11" x14ac:dyDescent="0.25">
      <c r="A46" s="28">
        <v>45601</v>
      </c>
      <c r="B46" s="29">
        <v>2740.300048828125</v>
      </c>
      <c r="D46" s="28">
        <v>45603</v>
      </c>
      <c r="E46" s="29">
        <v>4430.3999999999996</v>
      </c>
      <c r="I46" s="53">
        <v>45603</v>
      </c>
      <c r="J46" s="55">
        <f t="shared" si="0"/>
        <v>11954990.927343749</v>
      </c>
      <c r="K46" s="55">
        <f>J46/$Q$2</f>
        <v>384361.88353527564</v>
      </c>
    </row>
    <row r="47" spans="1:11" x14ac:dyDescent="0.25">
      <c r="A47" s="28">
        <v>45602</v>
      </c>
      <c r="B47" s="29">
        <v>2667.60009765625</v>
      </c>
      <c r="D47" s="28">
        <v>45604</v>
      </c>
      <c r="E47" s="29">
        <v>4344.55</v>
      </c>
      <c r="I47" s="53">
        <v>45604</v>
      </c>
      <c r="J47" s="55">
        <f t="shared" si="0"/>
        <v>11675978.125</v>
      </c>
      <c r="K47" s="55">
        <f>J47/$Q$2</f>
        <v>375391.41363771912</v>
      </c>
    </row>
    <row r="48" spans="1:11" x14ac:dyDescent="0.25">
      <c r="A48" s="28">
        <v>45603</v>
      </c>
      <c r="B48" s="29">
        <v>2698.39990234375</v>
      </c>
      <c r="D48" s="28">
        <v>45605</v>
      </c>
      <c r="E48" s="29">
        <v>4346.7</v>
      </c>
      <c r="I48" s="53"/>
      <c r="J48" s="55"/>
      <c r="K48" s="55"/>
    </row>
    <row r="49" spans="1:11" x14ac:dyDescent="0.25">
      <c r="A49" s="28">
        <v>45604</v>
      </c>
      <c r="B49" s="29">
        <v>2687.5</v>
      </c>
      <c r="D49" s="28">
        <v>45609</v>
      </c>
      <c r="E49" s="29">
        <v>4413.79</v>
      </c>
      <c r="I49" s="53">
        <v>45609</v>
      </c>
      <c r="J49" s="55">
        <f t="shared" si="0"/>
        <v>11391109.44751709</v>
      </c>
      <c r="K49" s="55">
        <f>J49/$Q$2</f>
        <v>366232.67298262584</v>
      </c>
    </row>
    <row r="50" spans="1:11" x14ac:dyDescent="0.25">
      <c r="A50" s="28">
        <v>45607</v>
      </c>
      <c r="B50" s="29">
        <v>2611.199951171875</v>
      </c>
      <c r="D50" s="28">
        <v>45610</v>
      </c>
      <c r="E50" s="29">
        <v>4478.21</v>
      </c>
      <c r="I50" s="53">
        <v>45610</v>
      </c>
      <c r="J50" s="55">
        <f t="shared" si="0"/>
        <v>11500938.703337403</v>
      </c>
      <c r="K50" s="55">
        <f>J50/$Q$2</f>
        <v>369763.76555232576</v>
      </c>
    </row>
    <row r="51" spans="1:11" x14ac:dyDescent="0.25">
      <c r="A51" s="28">
        <v>45608</v>
      </c>
      <c r="B51" s="29">
        <v>2600</v>
      </c>
      <c r="D51" s="28">
        <v>45611</v>
      </c>
      <c r="E51" s="29">
        <v>4475.57</v>
      </c>
      <c r="I51" s="53">
        <v>45611</v>
      </c>
      <c r="J51" s="55">
        <f t="shared" si="0"/>
        <v>11482969.730466308</v>
      </c>
      <c r="K51" s="55">
        <f>J51/$Q$2</f>
        <v>369186.04965944862</v>
      </c>
    </row>
    <row r="52" spans="1:11" x14ac:dyDescent="0.25">
      <c r="A52" s="28">
        <v>45609</v>
      </c>
      <c r="B52" s="29">
        <v>2580.800048828125</v>
      </c>
      <c r="D52" s="28">
        <v>45612</v>
      </c>
      <c r="E52" s="29">
        <v>4454.68</v>
      </c>
      <c r="I52" s="53"/>
      <c r="J52" s="55"/>
      <c r="K52" s="55"/>
    </row>
    <row r="53" spans="1:11" x14ac:dyDescent="0.25">
      <c r="A53" s="28">
        <v>45610</v>
      </c>
      <c r="B53" s="29">
        <v>2568.199951171875</v>
      </c>
      <c r="D53" s="28">
        <v>45615</v>
      </c>
      <c r="E53" s="29">
        <v>4400.6899999999996</v>
      </c>
      <c r="I53" s="53">
        <v>45615</v>
      </c>
      <c r="J53" s="55">
        <f t="shared" si="0"/>
        <v>11561053.128754882</v>
      </c>
      <c r="K53" s="55">
        <f>J53/$Q$2</f>
        <v>371696.48920904181</v>
      </c>
    </row>
    <row r="54" spans="1:11" x14ac:dyDescent="0.25">
      <c r="A54" s="28">
        <v>45611</v>
      </c>
      <c r="B54" s="29">
        <v>2565.699951171875</v>
      </c>
      <c r="D54" s="28">
        <v>45616</v>
      </c>
      <c r="E54" s="29">
        <v>4401.34</v>
      </c>
      <c r="I54" s="53">
        <v>45616</v>
      </c>
      <c r="J54" s="55">
        <f t="shared" si="0"/>
        <v>11655628.37309082</v>
      </c>
      <c r="K54" s="55">
        <f>J54/$Q$2</f>
        <v>374737.15392135264</v>
      </c>
    </row>
    <row r="55" spans="1:11" x14ac:dyDescent="0.25">
      <c r="A55" s="28">
        <v>45614</v>
      </c>
      <c r="B55" s="29">
        <v>2610.60009765625</v>
      </c>
      <c r="D55" s="28">
        <v>45617</v>
      </c>
      <c r="E55" s="29">
        <v>4414.0600000000004</v>
      </c>
      <c r="I55" s="53">
        <v>45617</v>
      </c>
      <c r="J55" s="55">
        <f t="shared" si="0"/>
        <v>11794810.157060549</v>
      </c>
      <c r="K55" s="55">
        <f>J55/$Q$2</f>
        <v>379211.95218473289</v>
      </c>
    </row>
    <row r="56" spans="1:11" x14ac:dyDescent="0.25">
      <c r="A56" s="28">
        <v>45615</v>
      </c>
      <c r="B56" s="29">
        <v>2627.10009765625</v>
      </c>
      <c r="D56" s="28">
        <v>45618</v>
      </c>
      <c r="E56" s="29">
        <v>4387.09</v>
      </c>
      <c r="I56" s="53">
        <v>45618</v>
      </c>
      <c r="J56" s="55">
        <f t="shared" si="0"/>
        <v>11888574.762573242</v>
      </c>
      <c r="K56" s="55">
        <f>J56/$Q$2</f>
        <v>382226.55425367889</v>
      </c>
    </row>
    <row r="57" spans="1:11" x14ac:dyDescent="0.25">
      <c r="A57" s="28">
        <v>45616</v>
      </c>
      <c r="B57" s="29">
        <v>2648.199951171875</v>
      </c>
      <c r="D57" s="28">
        <v>45619</v>
      </c>
      <c r="E57" s="29">
        <v>4418.58</v>
      </c>
      <c r="I57" s="53"/>
      <c r="J57" s="55"/>
      <c r="K57" s="55"/>
    </row>
    <row r="58" spans="1:11" x14ac:dyDescent="0.25">
      <c r="A58" s="28">
        <v>45617</v>
      </c>
      <c r="B58" s="29">
        <v>2672.10009765625</v>
      </c>
      <c r="D58" s="28">
        <v>45622</v>
      </c>
      <c r="E58" s="29">
        <v>4381.99</v>
      </c>
      <c r="I58" s="53">
        <v>45622</v>
      </c>
      <c r="J58" s="55">
        <f t="shared" si="0"/>
        <v>11482128.610964354</v>
      </c>
      <c r="K58" s="55">
        <f>J58/$Q$2</f>
        <v>369159.00703950739</v>
      </c>
    </row>
    <row r="59" spans="1:11" x14ac:dyDescent="0.25">
      <c r="A59" s="28">
        <v>45618</v>
      </c>
      <c r="B59" s="29">
        <v>2709.89990234375</v>
      </c>
      <c r="D59" s="28">
        <v>45623</v>
      </c>
      <c r="E59" s="29">
        <v>4405.96</v>
      </c>
      <c r="I59" s="53">
        <v>45623</v>
      </c>
      <c r="J59" s="55">
        <f t="shared" si="0"/>
        <v>11631293.373730469</v>
      </c>
      <c r="K59" s="55">
        <f>J59/$Q$2</f>
        <v>373954.76552417025</v>
      </c>
    </row>
    <row r="60" spans="1:11" x14ac:dyDescent="0.25">
      <c r="A60" s="28">
        <v>45621</v>
      </c>
      <c r="B60" s="29">
        <v>2616.800048828125</v>
      </c>
      <c r="D60" s="28">
        <v>45624</v>
      </c>
      <c r="E60" s="29">
        <v>4406.16</v>
      </c>
      <c r="I60" s="53"/>
      <c r="J60" s="55"/>
      <c r="K60" s="55"/>
    </row>
    <row r="61" spans="1:11" x14ac:dyDescent="0.25">
      <c r="A61" s="28">
        <v>45622</v>
      </c>
      <c r="B61" s="29">
        <v>2620.300048828125</v>
      </c>
      <c r="D61" s="28">
        <v>45626</v>
      </c>
      <c r="E61" s="29">
        <v>4419.59</v>
      </c>
      <c r="I61" s="53"/>
      <c r="J61" s="55"/>
      <c r="K61" s="55"/>
    </row>
    <row r="62" spans="1:11" x14ac:dyDescent="0.25">
      <c r="A62" s="28">
        <v>45623</v>
      </c>
      <c r="B62" s="29">
        <v>2639.89990234375</v>
      </c>
      <c r="D62" s="28">
        <v>45629</v>
      </c>
      <c r="E62" s="29">
        <v>4462.97</v>
      </c>
      <c r="I62" s="53">
        <v>45629</v>
      </c>
      <c r="J62" s="55">
        <f t="shared" si="0"/>
        <v>11803216.541081544</v>
      </c>
      <c r="K62" s="55">
        <f>J62/$Q$2</f>
        <v>379482.22370695049</v>
      </c>
    </row>
    <row r="63" spans="1:11" x14ac:dyDescent="0.25">
      <c r="A63" s="28">
        <v>45625</v>
      </c>
      <c r="B63" s="29">
        <v>2657</v>
      </c>
      <c r="D63" s="28">
        <v>45630</v>
      </c>
      <c r="E63" s="29">
        <v>4443.53</v>
      </c>
      <c r="I63" s="53">
        <v>45630</v>
      </c>
      <c r="J63" s="55">
        <f t="shared" si="0"/>
        <v>11792240.130969238</v>
      </c>
      <c r="K63" s="55">
        <f>J63/$Q$2</f>
        <v>379129.32392719638</v>
      </c>
    </row>
    <row r="64" spans="1:11" x14ac:dyDescent="0.25">
      <c r="A64" s="28">
        <v>45628</v>
      </c>
      <c r="B64" s="29">
        <v>2634.89990234375</v>
      </c>
      <c r="D64" s="28">
        <v>45631</v>
      </c>
      <c r="E64" s="29">
        <v>4424.5600000000004</v>
      </c>
      <c r="I64" s="53">
        <v>45631</v>
      </c>
      <c r="J64" s="55">
        <f t="shared" si="0"/>
        <v>11621549.728085939</v>
      </c>
      <c r="K64" s="55">
        <f>J64/$Q$2</f>
        <v>373641.50004239846</v>
      </c>
    </row>
    <row r="65" spans="1:11" x14ac:dyDescent="0.25">
      <c r="A65" s="28">
        <v>45629</v>
      </c>
      <c r="B65" s="29">
        <v>2644.699951171875</v>
      </c>
      <c r="D65" s="28">
        <v>45632</v>
      </c>
      <c r="E65" s="29">
        <v>4407.13</v>
      </c>
      <c r="I65" s="53">
        <v>45632</v>
      </c>
      <c r="J65" s="55">
        <f t="shared" si="0"/>
        <v>11628653.648383789</v>
      </c>
      <c r="K65" s="55">
        <f>J65/$Q$2</f>
        <v>373869.89638353838</v>
      </c>
    </row>
    <row r="66" spans="1:11" x14ac:dyDescent="0.25">
      <c r="A66" s="28">
        <v>45630</v>
      </c>
      <c r="B66" s="29">
        <v>2653.800048828125</v>
      </c>
      <c r="D66" s="28">
        <v>45633</v>
      </c>
      <c r="E66" s="29">
        <v>4396.5200000000004</v>
      </c>
      <c r="I66" s="53"/>
      <c r="J66" s="55"/>
      <c r="K66" s="55"/>
    </row>
    <row r="67" spans="1:11" x14ac:dyDescent="0.25">
      <c r="A67" s="28">
        <v>45631</v>
      </c>
      <c r="B67" s="29">
        <v>2626.60009765625</v>
      </c>
      <c r="D67" s="28">
        <v>45636</v>
      </c>
      <c r="E67" s="29">
        <v>4379.71</v>
      </c>
      <c r="I67" s="53">
        <v>45636</v>
      </c>
      <c r="J67" s="55">
        <f t="shared" ref="J67:J130" si="1">E67*_xlfn.XLOOKUP(I67,$A$2:$A$504,$B$2:$B$504)</f>
        <v>11814706.123706054</v>
      </c>
      <c r="K67" s="55">
        <f>J67/$Q$2</f>
        <v>379851.62236609042</v>
      </c>
    </row>
    <row r="68" spans="1:11" x14ac:dyDescent="0.25">
      <c r="A68" s="28">
        <v>45632</v>
      </c>
      <c r="B68" s="29">
        <v>2638.60009765625</v>
      </c>
      <c r="D68" s="28">
        <v>45637</v>
      </c>
      <c r="E68" s="29">
        <v>4377.34</v>
      </c>
      <c r="I68" s="53">
        <v>45637</v>
      </c>
      <c r="J68" s="55">
        <f t="shared" si="1"/>
        <v>11966772.305737305</v>
      </c>
      <c r="K68" s="55">
        <f>J68/$Q$2</f>
        <v>384740.663646236</v>
      </c>
    </row>
    <row r="69" spans="1:11" x14ac:dyDescent="0.25">
      <c r="A69" s="28">
        <v>45635</v>
      </c>
      <c r="B69" s="29">
        <v>2664.89990234375</v>
      </c>
      <c r="D69" s="28">
        <v>45638</v>
      </c>
      <c r="E69" s="29">
        <v>4361.22</v>
      </c>
      <c r="I69" s="53">
        <v>45638</v>
      </c>
      <c r="J69" s="55">
        <f t="shared" si="1"/>
        <v>11720778.75</v>
      </c>
      <c r="K69" s="55">
        <f>J69/$Q$2</f>
        <v>376831.78717821027</v>
      </c>
    </row>
    <row r="70" spans="1:11" x14ac:dyDescent="0.25">
      <c r="A70" s="28">
        <v>45636</v>
      </c>
      <c r="B70" s="29">
        <v>2697.60009765625</v>
      </c>
      <c r="D70" s="28">
        <v>45639</v>
      </c>
      <c r="E70" s="29">
        <v>4335.2</v>
      </c>
      <c r="I70" s="53">
        <v>45639</v>
      </c>
      <c r="J70" s="55">
        <f t="shared" si="1"/>
        <v>11514291.199999999</v>
      </c>
      <c r="K70" s="55">
        <f>J70/$Q$2</f>
        <v>370193.05828858336</v>
      </c>
    </row>
    <row r="71" spans="1:11" x14ac:dyDescent="0.25">
      <c r="A71" s="28">
        <v>45637</v>
      </c>
      <c r="B71" s="29">
        <v>2733.800048828125</v>
      </c>
      <c r="D71" s="28">
        <v>45640</v>
      </c>
      <c r="E71" s="29">
        <v>4341.32</v>
      </c>
      <c r="I71" s="53"/>
      <c r="J71" s="55"/>
      <c r="K71" s="55"/>
    </row>
    <row r="72" spans="1:11" x14ac:dyDescent="0.25">
      <c r="A72" s="28">
        <v>45638</v>
      </c>
      <c r="B72" s="29">
        <v>2687.5</v>
      </c>
      <c r="D72" s="28">
        <v>45643</v>
      </c>
      <c r="E72" s="29">
        <v>4324.1899999999996</v>
      </c>
      <c r="I72" s="53">
        <v>45643</v>
      </c>
      <c r="J72" s="55">
        <f t="shared" si="1"/>
        <v>11434887.61371582</v>
      </c>
      <c r="K72" s="55">
        <f>J72/$Q$2</f>
        <v>367640.17370932049</v>
      </c>
    </row>
    <row r="73" spans="1:11" x14ac:dyDescent="0.25">
      <c r="A73" s="28">
        <v>45639</v>
      </c>
      <c r="B73" s="29">
        <v>2656</v>
      </c>
      <c r="D73" s="28">
        <v>45644</v>
      </c>
      <c r="E73" s="29">
        <v>4345.32</v>
      </c>
      <c r="I73" s="53">
        <v>45644</v>
      </c>
      <c r="J73" s="55">
        <f t="shared" si="1"/>
        <v>11456436.18</v>
      </c>
      <c r="K73" s="55">
        <f>J73/$Q$2</f>
        <v>368332.97620284045</v>
      </c>
    </row>
    <row r="74" spans="1:11" x14ac:dyDescent="0.25">
      <c r="A74" s="28">
        <v>45642</v>
      </c>
      <c r="B74" s="29">
        <v>2651.39990234375</v>
      </c>
      <c r="D74" s="28">
        <v>45645</v>
      </c>
      <c r="E74" s="29">
        <v>4359.1099999999997</v>
      </c>
      <c r="I74" s="53">
        <v>45645</v>
      </c>
      <c r="J74" s="55">
        <f t="shared" si="1"/>
        <v>11299684.72915283</v>
      </c>
      <c r="K74" s="55">
        <f>J74/$Q$2</f>
        <v>363293.30003238836</v>
      </c>
    </row>
    <row r="75" spans="1:11" x14ac:dyDescent="0.25">
      <c r="A75" s="28">
        <v>45643</v>
      </c>
      <c r="B75" s="29">
        <v>2644.39990234375</v>
      </c>
      <c r="D75" s="28">
        <v>45646</v>
      </c>
      <c r="E75" s="29">
        <v>4394.5</v>
      </c>
      <c r="I75" s="53">
        <v>45646</v>
      </c>
      <c r="J75" s="55">
        <f t="shared" si="1"/>
        <v>11551821.935424805</v>
      </c>
      <c r="K75" s="55">
        <f>J75/$Q$2</f>
        <v>371399.69945176051</v>
      </c>
    </row>
    <row r="76" spans="1:11" x14ac:dyDescent="0.25">
      <c r="A76" s="28">
        <v>45644</v>
      </c>
      <c r="B76" s="29">
        <v>2636.5</v>
      </c>
      <c r="D76" s="28">
        <v>45647</v>
      </c>
      <c r="E76" s="29">
        <v>4374.62</v>
      </c>
      <c r="I76" s="53"/>
      <c r="J76" s="55"/>
      <c r="K76" s="55"/>
    </row>
    <row r="77" spans="1:11" x14ac:dyDescent="0.25">
      <c r="A77" s="28">
        <v>45645</v>
      </c>
      <c r="B77" s="29">
        <v>2592.199951171875</v>
      </c>
      <c r="D77" s="28">
        <v>45650</v>
      </c>
      <c r="E77" s="29">
        <v>4395.4399999999996</v>
      </c>
      <c r="I77" s="53">
        <v>45650</v>
      </c>
      <c r="J77" s="55">
        <f t="shared" si="1"/>
        <v>11516052.799999999</v>
      </c>
      <c r="K77" s="55">
        <f>J77/$Q$2</f>
        <v>370249.69504373864</v>
      </c>
    </row>
    <row r="78" spans="1:11" x14ac:dyDescent="0.25">
      <c r="A78" s="28">
        <v>45646</v>
      </c>
      <c r="B78" s="29">
        <v>2628.699951171875</v>
      </c>
      <c r="D78" s="28">
        <v>45651</v>
      </c>
      <c r="E78" s="29">
        <v>4380.9399999999996</v>
      </c>
      <c r="I78" s="53"/>
      <c r="J78" s="55"/>
      <c r="K78" s="55"/>
    </row>
    <row r="79" spans="1:11" x14ac:dyDescent="0.25">
      <c r="A79" s="28">
        <v>45649</v>
      </c>
      <c r="B79" s="29">
        <v>2612.300048828125</v>
      </c>
      <c r="D79" s="28">
        <v>45653</v>
      </c>
      <c r="E79" s="29">
        <v>4375.8599999999997</v>
      </c>
      <c r="I79" s="53">
        <v>45653</v>
      </c>
      <c r="J79" s="55">
        <f t="shared" si="1"/>
        <v>11452500.578334959</v>
      </c>
      <c r="K79" s="55">
        <f>J79/$Q$2</f>
        <v>368206.44367111265</v>
      </c>
    </row>
    <row r="80" spans="1:11" x14ac:dyDescent="0.25">
      <c r="A80" s="28">
        <v>45650</v>
      </c>
      <c r="B80" s="29">
        <v>2620</v>
      </c>
      <c r="D80" s="28">
        <v>45654</v>
      </c>
      <c r="E80" s="29">
        <v>4401.9799999999996</v>
      </c>
      <c r="I80" s="53"/>
      <c r="J80" s="55"/>
      <c r="K80" s="55"/>
    </row>
    <row r="81" spans="1:11" x14ac:dyDescent="0.25">
      <c r="A81" s="28">
        <v>45652</v>
      </c>
      <c r="B81" s="29">
        <v>2638.800048828125</v>
      </c>
      <c r="D81" s="28">
        <v>45657</v>
      </c>
      <c r="E81" s="29">
        <v>4409.1499999999996</v>
      </c>
      <c r="I81" s="53">
        <v>45657</v>
      </c>
      <c r="J81" s="55">
        <f t="shared" si="1"/>
        <v>11592536.964709472</v>
      </c>
      <c r="K81" s="55">
        <f>J81/$Q$2</f>
        <v>372708.71803982608</v>
      </c>
    </row>
    <row r="82" spans="1:11" x14ac:dyDescent="0.25">
      <c r="A82" s="28">
        <v>45653</v>
      </c>
      <c r="B82" s="29">
        <v>2617.199951171875</v>
      </c>
      <c r="D82" s="28">
        <v>45660</v>
      </c>
      <c r="E82" s="29">
        <v>4410.5</v>
      </c>
      <c r="I82" s="53">
        <v>45660</v>
      </c>
      <c r="J82" s="55">
        <f t="shared" si="1"/>
        <v>11665772.5</v>
      </c>
      <c r="K82" s="55">
        <f>J82/$Q$2</f>
        <v>375063.29517476965</v>
      </c>
    </row>
    <row r="83" spans="1:11" x14ac:dyDescent="0.25">
      <c r="A83" s="28">
        <v>45656</v>
      </c>
      <c r="B83" s="29">
        <v>2606.10009765625</v>
      </c>
      <c r="D83" s="28">
        <v>45661</v>
      </c>
      <c r="E83" s="29">
        <v>4355.51</v>
      </c>
      <c r="I83" s="53"/>
      <c r="J83" s="55"/>
      <c r="K83" s="55"/>
    </row>
    <row r="84" spans="1:11" x14ac:dyDescent="0.25">
      <c r="A84" s="28">
        <v>45657</v>
      </c>
      <c r="B84" s="29">
        <v>2629.199951171875</v>
      </c>
      <c r="D84" s="28">
        <v>45665</v>
      </c>
      <c r="E84" s="29">
        <v>4342.3100000000004</v>
      </c>
      <c r="I84" s="53">
        <v>45665</v>
      </c>
      <c r="J84" s="55">
        <f t="shared" si="1"/>
        <v>11570084.995000001</v>
      </c>
      <c r="K84" s="55">
        <f>J84/$Q$2</f>
        <v>371986.87045173038</v>
      </c>
    </row>
    <row r="85" spans="1:11" x14ac:dyDescent="0.25">
      <c r="A85" s="28">
        <v>45659</v>
      </c>
      <c r="B85" s="29">
        <v>2658.89990234375</v>
      </c>
      <c r="D85" s="28">
        <v>45666</v>
      </c>
      <c r="E85" s="29">
        <v>4347.42</v>
      </c>
      <c r="I85" s="53">
        <v>45666</v>
      </c>
      <c r="J85" s="55">
        <f t="shared" si="1"/>
        <v>11667606.008276368</v>
      </c>
      <c r="K85" s="55">
        <f>J85/$Q$2</f>
        <v>375122.24383469461</v>
      </c>
    </row>
    <row r="86" spans="1:11" x14ac:dyDescent="0.25">
      <c r="A86" s="28">
        <v>45660</v>
      </c>
      <c r="B86" s="29">
        <v>2645</v>
      </c>
      <c r="D86" s="28">
        <v>45667</v>
      </c>
      <c r="E86" s="29">
        <v>4321.1899999999996</v>
      </c>
      <c r="I86" s="53">
        <v>45667</v>
      </c>
      <c r="J86" s="55">
        <f t="shared" si="1"/>
        <v>11703943.114999998</v>
      </c>
      <c r="K86" s="55">
        <f>J86/$Q$2</f>
        <v>376290.50894400326</v>
      </c>
    </row>
    <row r="87" spans="1:11" x14ac:dyDescent="0.25">
      <c r="A87" s="28">
        <v>45663</v>
      </c>
      <c r="B87" s="29">
        <v>2638.39990234375</v>
      </c>
      <c r="D87" s="28">
        <v>45668</v>
      </c>
      <c r="E87" s="29">
        <v>4343.4799999999996</v>
      </c>
      <c r="I87" s="53"/>
      <c r="J87" s="55"/>
      <c r="K87" s="55"/>
    </row>
    <row r="88" spans="1:11" x14ac:dyDescent="0.25">
      <c r="A88" s="28">
        <v>45664</v>
      </c>
      <c r="B88" s="29">
        <v>2656.699951171875</v>
      </c>
      <c r="D88" s="28">
        <v>45671</v>
      </c>
      <c r="E88" s="29">
        <v>4331.2299999999996</v>
      </c>
      <c r="I88" s="53">
        <v>45671</v>
      </c>
      <c r="J88" s="55">
        <f t="shared" si="1"/>
        <v>11596868.324999999</v>
      </c>
      <c r="K88" s="55">
        <f>J88/$Q$2</f>
        <v>372847.97450682428</v>
      </c>
    </row>
    <row r="89" spans="1:11" x14ac:dyDescent="0.25">
      <c r="A89" s="28">
        <v>45665</v>
      </c>
      <c r="B89" s="29">
        <v>2664.5</v>
      </c>
      <c r="D89" s="28">
        <v>45672</v>
      </c>
      <c r="E89" s="29">
        <v>4300.24</v>
      </c>
      <c r="I89" s="53">
        <v>45672</v>
      </c>
      <c r="J89" s="55">
        <f t="shared" si="1"/>
        <v>11664401</v>
      </c>
      <c r="K89" s="55">
        <f>J89/$Q$2</f>
        <v>375019.20042585081</v>
      </c>
    </row>
    <row r="90" spans="1:11" x14ac:dyDescent="0.25">
      <c r="A90" s="28">
        <v>45666</v>
      </c>
      <c r="B90" s="29">
        <v>2683.800048828125</v>
      </c>
      <c r="D90" s="28">
        <v>45673</v>
      </c>
      <c r="E90" s="29">
        <v>4294.1099999999997</v>
      </c>
      <c r="I90" s="53">
        <v>45673</v>
      </c>
      <c r="J90" s="55">
        <f t="shared" si="1"/>
        <v>11793343.284653319</v>
      </c>
      <c r="K90" s="55">
        <f>J90/$Q$2</f>
        <v>379164.79114171956</v>
      </c>
    </row>
    <row r="91" spans="1:11" x14ac:dyDescent="0.25">
      <c r="A91" s="28">
        <v>45667</v>
      </c>
      <c r="B91" s="29">
        <v>2708.5</v>
      </c>
      <c r="D91" s="28">
        <v>45674</v>
      </c>
      <c r="E91" s="29">
        <v>4338.1499999999996</v>
      </c>
      <c r="I91" s="53">
        <v>45674</v>
      </c>
      <c r="J91" s="55">
        <f t="shared" si="1"/>
        <v>11905185.25682373</v>
      </c>
      <c r="K91" s="55">
        <f>J91/$Q$2</f>
        <v>382760.59404470597</v>
      </c>
    </row>
    <row r="92" spans="1:11" x14ac:dyDescent="0.25">
      <c r="A92" s="28">
        <v>45670</v>
      </c>
      <c r="B92" s="29">
        <v>2673.5</v>
      </c>
      <c r="D92" s="28">
        <v>45675</v>
      </c>
      <c r="E92" s="29">
        <v>4344.2700000000004</v>
      </c>
      <c r="I92" s="53"/>
      <c r="J92" s="55"/>
      <c r="K92" s="55"/>
    </row>
    <row r="93" spans="1:11" x14ac:dyDescent="0.25">
      <c r="A93" s="28">
        <v>45671</v>
      </c>
      <c r="B93" s="29">
        <v>2677.5</v>
      </c>
      <c r="D93" s="28">
        <v>45679</v>
      </c>
      <c r="E93" s="29">
        <v>4307.07</v>
      </c>
      <c r="I93" s="53">
        <v>45679</v>
      </c>
      <c r="J93" s="55">
        <f t="shared" si="1"/>
        <v>11920247.352612304</v>
      </c>
      <c r="K93" s="55">
        <f>J93/$Q$2</f>
        <v>383244.8516691968</v>
      </c>
    </row>
    <row r="94" spans="1:11" x14ac:dyDescent="0.25">
      <c r="A94" s="28">
        <v>45672</v>
      </c>
      <c r="B94" s="29">
        <v>2712.5</v>
      </c>
      <c r="D94" s="28">
        <v>45680</v>
      </c>
      <c r="E94" s="29">
        <v>4278.01</v>
      </c>
      <c r="I94" s="53">
        <v>45680</v>
      </c>
      <c r="J94" s="55">
        <f t="shared" si="1"/>
        <v>11820569.848774415</v>
      </c>
      <c r="K94" s="55">
        <f>J94/$Q$2</f>
        <v>380040.14550471137</v>
      </c>
    </row>
    <row r="95" spans="1:11" x14ac:dyDescent="0.25">
      <c r="A95" s="28">
        <v>45673</v>
      </c>
      <c r="B95" s="29">
        <v>2746.39990234375</v>
      </c>
      <c r="D95" s="28">
        <v>45681</v>
      </c>
      <c r="E95" s="29">
        <v>4245.6499999999996</v>
      </c>
      <c r="I95" s="53">
        <v>45681</v>
      </c>
      <c r="J95" s="55">
        <f t="shared" si="1"/>
        <v>11791443.952307127</v>
      </c>
      <c r="K95" s="55">
        <f>J95/$Q$2</f>
        <v>379103.72618880752</v>
      </c>
    </row>
    <row r="96" spans="1:11" x14ac:dyDescent="0.25">
      <c r="A96" s="28">
        <v>45674</v>
      </c>
      <c r="B96" s="29">
        <v>2744.300048828125</v>
      </c>
      <c r="D96" s="28">
        <v>45682</v>
      </c>
      <c r="E96" s="29">
        <v>4188.46</v>
      </c>
      <c r="I96" s="53"/>
      <c r="J96" s="55"/>
      <c r="K96" s="55"/>
    </row>
    <row r="97" spans="1:11" x14ac:dyDescent="0.25">
      <c r="A97" s="28">
        <v>45678</v>
      </c>
      <c r="B97" s="29">
        <v>2755</v>
      </c>
      <c r="D97" s="28">
        <v>45685</v>
      </c>
      <c r="E97" s="29">
        <v>4220.8599999999997</v>
      </c>
      <c r="I97" s="53">
        <v>45685</v>
      </c>
      <c r="J97" s="55">
        <f t="shared" si="1"/>
        <v>11678275.654096678</v>
      </c>
      <c r="K97" s="55">
        <f>J97/$Q$2</f>
        <v>375465.28091344045</v>
      </c>
    </row>
    <row r="98" spans="1:11" x14ac:dyDescent="0.25">
      <c r="A98" s="28">
        <v>45679</v>
      </c>
      <c r="B98" s="29">
        <v>2767.60009765625</v>
      </c>
      <c r="D98" s="28">
        <v>45686</v>
      </c>
      <c r="E98" s="29">
        <v>4219</v>
      </c>
      <c r="I98" s="53">
        <v>45686</v>
      </c>
      <c r="J98" s="55">
        <f t="shared" si="1"/>
        <v>11682833.312011719</v>
      </c>
      <c r="K98" s="55">
        <f>J98/$Q$2</f>
        <v>375611.81301801343</v>
      </c>
    </row>
    <row r="99" spans="1:11" x14ac:dyDescent="0.25">
      <c r="A99" s="28">
        <v>45680</v>
      </c>
      <c r="B99" s="29">
        <v>2763.10009765625</v>
      </c>
      <c r="D99" s="28">
        <v>45687</v>
      </c>
      <c r="E99" s="29">
        <v>4195.6000000000004</v>
      </c>
      <c r="I99" s="53">
        <v>45687</v>
      </c>
      <c r="J99" s="55">
        <f t="shared" si="1"/>
        <v>11844178.800000001</v>
      </c>
      <c r="K99" s="55">
        <f>J99/$Q$2</f>
        <v>380799.19091231632</v>
      </c>
    </row>
    <row r="100" spans="1:11" x14ac:dyDescent="0.25">
      <c r="A100" s="28">
        <v>45681</v>
      </c>
      <c r="B100" s="29">
        <v>2777.300048828125</v>
      </c>
      <c r="D100" s="28">
        <v>45688</v>
      </c>
      <c r="E100" s="29">
        <v>4170.01</v>
      </c>
      <c r="I100" s="53">
        <v>45688</v>
      </c>
      <c r="J100" s="55">
        <f t="shared" si="1"/>
        <v>11728153.125</v>
      </c>
      <c r="K100" s="55">
        <f>J100/$Q$2</f>
        <v>377068.87883993727</v>
      </c>
    </row>
    <row r="101" spans="1:11" x14ac:dyDescent="0.25">
      <c r="A101" s="28">
        <v>45684</v>
      </c>
      <c r="B101" s="29">
        <v>2737.5</v>
      </c>
      <c r="D101" s="28">
        <v>45689</v>
      </c>
      <c r="E101" s="29">
        <v>4183.93</v>
      </c>
      <c r="I101" s="53"/>
      <c r="J101" s="55"/>
      <c r="K101" s="55"/>
    </row>
    <row r="102" spans="1:11" x14ac:dyDescent="0.25">
      <c r="A102" s="28">
        <v>45685</v>
      </c>
      <c r="B102" s="29">
        <v>2766.800048828125</v>
      </c>
      <c r="D102" s="28">
        <v>45692</v>
      </c>
      <c r="E102" s="29">
        <v>4198.66</v>
      </c>
      <c r="I102" s="53">
        <v>45692</v>
      </c>
      <c r="J102" s="55">
        <f t="shared" si="1"/>
        <v>11980036.783012696</v>
      </c>
      <c r="K102" s="55">
        <f>J102/$Q$2</f>
        <v>385167.12649348244</v>
      </c>
    </row>
    <row r="103" spans="1:11" x14ac:dyDescent="0.25">
      <c r="A103" s="28">
        <v>45686</v>
      </c>
      <c r="B103" s="29">
        <v>2769.10009765625</v>
      </c>
      <c r="D103" s="28">
        <v>45693</v>
      </c>
      <c r="E103" s="29">
        <v>4153.54</v>
      </c>
      <c r="I103" s="53">
        <v>45693</v>
      </c>
      <c r="J103" s="55">
        <f t="shared" si="1"/>
        <v>11927305.86961914</v>
      </c>
      <c r="K103" s="55">
        <f>J103/$Q$2</f>
        <v>383471.78826063394</v>
      </c>
    </row>
    <row r="104" spans="1:11" x14ac:dyDescent="0.25">
      <c r="A104" s="28">
        <v>45687</v>
      </c>
      <c r="B104" s="29">
        <v>2823</v>
      </c>
      <c r="D104" s="28">
        <v>45694</v>
      </c>
      <c r="E104" s="29">
        <v>4180.0600000000004</v>
      </c>
      <c r="I104" s="53">
        <v>45694</v>
      </c>
      <c r="J104" s="55">
        <f t="shared" si="1"/>
        <v>11938251.360000001</v>
      </c>
      <c r="K104" s="55">
        <f>J104/$Q$2</f>
        <v>383823.69394793839</v>
      </c>
    </row>
    <row r="105" spans="1:11" x14ac:dyDescent="0.25">
      <c r="A105" s="28">
        <v>45688</v>
      </c>
      <c r="B105" s="29">
        <v>2812.5</v>
      </c>
      <c r="D105" s="28">
        <v>45695</v>
      </c>
      <c r="E105" s="29">
        <v>4150.99</v>
      </c>
      <c r="I105" s="53">
        <v>45695</v>
      </c>
      <c r="J105" s="55">
        <f t="shared" si="1"/>
        <v>11902133.829685058</v>
      </c>
      <c r="K105" s="55">
        <f>J105/$Q$2</f>
        <v>382662.48838409793</v>
      </c>
    </row>
    <row r="106" spans="1:11" x14ac:dyDescent="0.25">
      <c r="A106" s="28">
        <v>45691</v>
      </c>
      <c r="B106" s="29">
        <v>2833.89990234375</v>
      </c>
      <c r="D106" s="28">
        <v>45696</v>
      </c>
      <c r="E106" s="29">
        <v>4113.7</v>
      </c>
      <c r="I106" s="53"/>
      <c r="J106" s="55"/>
      <c r="K106" s="55"/>
    </row>
    <row r="107" spans="1:11" x14ac:dyDescent="0.25">
      <c r="A107" s="28">
        <v>45692</v>
      </c>
      <c r="B107" s="29">
        <v>2853.300048828125</v>
      </c>
      <c r="D107" s="28">
        <v>45699</v>
      </c>
      <c r="E107" s="29">
        <v>4132.93</v>
      </c>
      <c r="I107" s="53">
        <v>45699</v>
      </c>
      <c r="J107" s="55">
        <f t="shared" si="1"/>
        <v>12037158.625</v>
      </c>
      <c r="K107" s="55">
        <f>J107/$Q$2</f>
        <v>387003.63635874947</v>
      </c>
    </row>
    <row r="108" spans="1:11" x14ac:dyDescent="0.25">
      <c r="A108" s="28">
        <v>45693</v>
      </c>
      <c r="B108" s="29">
        <v>2871.60009765625</v>
      </c>
      <c r="D108" s="28">
        <v>45700</v>
      </c>
      <c r="E108" s="29">
        <v>4153.8</v>
      </c>
      <c r="I108" s="53">
        <v>45700</v>
      </c>
      <c r="J108" s="55">
        <f t="shared" si="1"/>
        <v>12083404.200000001</v>
      </c>
      <c r="K108" s="55">
        <f>J108/$Q$2</f>
        <v>388490.466120495</v>
      </c>
    </row>
    <row r="109" spans="1:11" x14ac:dyDescent="0.25">
      <c r="A109" s="28">
        <v>45694</v>
      </c>
      <c r="B109" s="29">
        <v>2856</v>
      </c>
      <c r="D109" s="28">
        <v>45701</v>
      </c>
      <c r="E109" s="29">
        <v>4165.07</v>
      </c>
      <c r="I109" s="53">
        <v>45701</v>
      </c>
      <c r="J109" s="55">
        <f t="shared" si="1"/>
        <v>12186577.906254882</v>
      </c>
      <c r="K109" s="55">
        <f>J109/$Q$2</f>
        <v>391807.57780284173</v>
      </c>
    </row>
    <row r="110" spans="1:11" x14ac:dyDescent="0.25">
      <c r="A110" s="28">
        <v>45695</v>
      </c>
      <c r="B110" s="29">
        <v>2867.300048828125</v>
      </c>
      <c r="D110" s="28">
        <v>45702</v>
      </c>
      <c r="E110" s="29">
        <v>4161.46</v>
      </c>
      <c r="I110" s="53">
        <v>45702</v>
      </c>
      <c r="J110" s="55">
        <f t="shared" si="1"/>
        <v>11999986.462392578</v>
      </c>
      <c r="K110" s="55">
        <f>J110/$Q$2</f>
        <v>385808.52357935038</v>
      </c>
    </row>
    <row r="111" spans="1:11" x14ac:dyDescent="0.25">
      <c r="A111" s="28">
        <v>45698</v>
      </c>
      <c r="B111" s="29">
        <v>2914.300048828125</v>
      </c>
      <c r="D111" s="28">
        <v>45703</v>
      </c>
      <c r="E111" s="29">
        <v>4100.66</v>
      </c>
      <c r="I111" s="53"/>
      <c r="J111" s="55"/>
      <c r="K111" s="55"/>
    </row>
    <row r="112" spans="1:11" x14ac:dyDescent="0.25">
      <c r="A112" s="28">
        <v>45699</v>
      </c>
      <c r="B112" s="29">
        <v>2912.5</v>
      </c>
      <c r="D112" s="28">
        <v>45707</v>
      </c>
      <c r="E112" s="29">
        <v>4111.38</v>
      </c>
      <c r="I112" s="53">
        <v>45707</v>
      </c>
      <c r="J112" s="55">
        <f t="shared" si="1"/>
        <v>12002762.370498046</v>
      </c>
      <c r="K112" s="55">
        <f>J112/$Q$2</f>
        <v>385897.77109734714</v>
      </c>
    </row>
    <row r="113" spans="1:11" x14ac:dyDescent="0.25">
      <c r="A113" s="28">
        <v>45700</v>
      </c>
      <c r="B113" s="29">
        <v>2909</v>
      </c>
      <c r="D113" s="28">
        <v>45708</v>
      </c>
      <c r="E113" s="29">
        <v>4098.67</v>
      </c>
      <c r="I113" s="53">
        <v>45708</v>
      </c>
      <c r="J113" s="55">
        <f t="shared" si="1"/>
        <v>12050089.800000001</v>
      </c>
      <c r="K113" s="55">
        <f>J113/$Q$2</f>
        <v>387419.38328900904</v>
      </c>
    </row>
    <row r="114" spans="1:11" x14ac:dyDescent="0.25">
      <c r="A114" s="28">
        <v>45701</v>
      </c>
      <c r="B114" s="29">
        <v>2925.89990234375</v>
      </c>
      <c r="D114" s="28">
        <v>45709</v>
      </c>
      <c r="E114" s="29">
        <v>4077.56</v>
      </c>
      <c r="I114" s="53">
        <v>45709</v>
      </c>
      <c r="J114" s="55">
        <f t="shared" si="1"/>
        <v>11978240.654199218</v>
      </c>
      <c r="K114" s="55">
        <f>J114/$Q$2</f>
        <v>385109.37961119571</v>
      </c>
    </row>
    <row r="115" spans="1:11" x14ac:dyDescent="0.25">
      <c r="A115" s="28">
        <v>45702</v>
      </c>
      <c r="B115" s="29">
        <v>2883.60009765625</v>
      </c>
      <c r="D115" s="28">
        <v>45710</v>
      </c>
      <c r="E115" s="29">
        <v>4073.56</v>
      </c>
      <c r="I115" s="53"/>
      <c r="J115" s="55"/>
      <c r="K115" s="55"/>
    </row>
    <row r="116" spans="1:11" x14ac:dyDescent="0.25">
      <c r="A116" s="28">
        <v>45706</v>
      </c>
      <c r="B116" s="29">
        <v>2931.60009765625</v>
      </c>
      <c r="D116" s="28">
        <v>45713</v>
      </c>
      <c r="E116" s="29">
        <v>4112.63</v>
      </c>
      <c r="I116" s="53">
        <v>45713</v>
      </c>
      <c r="J116" s="55">
        <f t="shared" si="1"/>
        <v>11945133.835000001</v>
      </c>
      <c r="K116" s="55">
        <f>J116/$Q$2</f>
        <v>384044.97065742826</v>
      </c>
    </row>
    <row r="117" spans="1:11" x14ac:dyDescent="0.25">
      <c r="A117" s="28">
        <v>45707</v>
      </c>
      <c r="B117" s="29">
        <v>2919.39990234375</v>
      </c>
      <c r="D117" s="28">
        <v>45714</v>
      </c>
      <c r="E117" s="29">
        <v>4126.54</v>
      </c>
      <c r="I117" s="53">
        <v>45714</v>
      </c>
      <c r="J117" s="55">
        <f t="shared" si="1"/>
        <v>12036292.07349121</v>
      </c>
      <c r="K117" s="55">
        <f>J117/$Q$2</f>
        <v>386975.77608080168</v>
      </c>
    </row>
    <row r="118" spans="1:11" x14ac:dyDescent="0.25">
      <c r="A118" s="28">
        <v>45708</v>
      </c>
      <c r="B118" s="29">
        <v>2940</v>
      </c>
      <c r="D118" s="28">
        <v>45715</v>
      </c>
      <c r="E118" s="29">
        <v>4123.1000000000004</v>
      </c>
      <c r="I118" s="53">
        <v>45715</v>
      </c>
      <c r="J118" s="55">
        <f t="shared" si="1"/>
        <v>11887721.718676759</v>
      </c>
      <c r="K118" s="55">
        <f>J118/$Q$2</f>
        <v>382199.12825555116</v>
      </c>
    </row>
    <row r="119" spans="1:11" x14ac:dyDescent="0.25">
      <c r="A119" s="28">
        <v>45709</v>
      </c>
      <c r="B119" s="29">
        <v>2937.60009765625</v>
      </c>
      <c r="D119" s="28">
        <v>45716</v>
      </c>
      <c r="E119" s="29">
        <v>4120.1099999999997</v>
      </c>
      <c r="I119" s="53">
        <v>45716</v>
      </c>
      <c r="J119" s="55">
        <f t="shared" si="1"/>
        <v>11687928.249177245</v>
      </c>
      <c r="K119" s="55">
        <f>J119/$Q$2</f>
        <v>375775.61905160535</v>
      </c>
    </row>
    <row r="120" spans="1:11" x14ac:dyDescent="0.25">
      <c r="A120" s="28">
        <v>45712</v>
      </c>
      <c r="B120" s="29">
        <v>2947.89990234375</v>
      </c>
      <c r="D120" s="28">
        <v>45717</v>
      </c>
      <c r="E120" s="29">
        <v>4134.04</v>
      </c>
      <c r="I120" s="53"/>
      <c r="J120" s="55"/>
      <c r="K120" s="55"/>
    </row>
    <row r="121" spans="1:11" x14ac:dyDescent="0.25">
      <c r="A121" s="28">
        <v>45713</v>
      </c>
      <c r="B121" s="29">
        <v>2904.5</v>
      </c>
      <c r="D121" s="28">
        <v>45720</v>
      </c>
      <c r="E121" s="29">
        <v>4116.6099999999997</v>
      </c>
      <c r="I121" s="53">
        <v>45720</v>
      </c>
      <c r="J121" s="55">
        <f t="shared" si="1"/>
        <v>11977688.858012695</v>
      </c>
      <c r="K121" s="55">
        <f>J121/$Q$2</f>
        <v>385091.63895184523</v>
      </c>
    </row>
    <row r="122" spans="1:11" x14ac:dyDescent="0.25">
      <c r="A122" s="28">
        <v>45714</v>
      </c>
      <c r="B122" s="29">
        <v>2916.800048828125</v>
      </c>
      <c r="D122" s="28">
        <v>45721</v>
      </c>
      <c r="E122" s="29">
        <v>4144.18</v>
      </c>
      <c r="I122" s="53">
        <v>45721</v>
      </c>
      <c r="J122" s="55">
        <f t="shared" si="1"/>
        <v>12081528.15635254</v>
      </c>
      <c r="K122" s="55">
        <f>J122/$Q$2</f>
        <v>388430.14991663379</v>
      </c>
    </row>
    <row r="123" spans="1:11" x14ac:dyDescent="0.25">
      <c r="A123" s="28">
        <v>45715</v>
      </c>
      <c r="B123" s="29">
        <v>2883.199951171875</v>
      </c>
      <c r="D123" s="28">
        <v>45722</v>
      </c>
      <c r="E123" s="29">
        <v>4125.63</v>
      </c>
      <c r="I123" s="53">
        <v>45722</v>
      </c>
      <c r="J123" s="55">
        <f t="shared" si="1"/>
        <v>12032812.860893555</v>
      </c>
      <c r="K123" s="55">
        <f>J123/$Q$2</f>
        <v>386863.91679831612</v>
      </c>
    </row>
    <row r="124" spans="1:11" x14ac:dyDescent="0.25">
      <c r="A124" s="28">
        <v>45716</v>
      </c>
      <c r="B124" s="29">
        <v>2836.800048828125</v>
      </c>
      <c r="D124" s="28">
        <v>45723</v>
      </c>
      <c r="E124" s="29">
        <v>4104.5600000000004</v>
      </c>
      <c r="I124" s="53">
        <v>45723</v>
      </c>
      <c r="J124" s="55">
        <f t="shared" si="1"/>
        <v>11922515.231582033</v>
      </c>
      <c r="K124" s="55">
        <f>J124/$Q$2</f>
        <v>383317.76567120088</v>
      </c>
    </row>
    <row r="125" spans="1:11" x14ac:dyDescent="0.25">
      <c r="A125" s="28">
        <v>45719</v>
      </c>
      <c r="B125" s="29">
        <v>2890.199951171875</v>
      </c>
      <c r="D125" s="28">
        <v>45724</v>
      </c>
      <c r="E125" s="29">
        <v>4116.8</v>
      </c>
      <c r="I125" s="53"/>
      <c r="J125" s="55"/>
      <c r="K125" s="55"/>
    </row>
    <row r="126" spans="1:11" x14ac:dyDescent="0.25">
      <c r="A126" s="28">
        <v>45720</v>
      </c>
      <c r="B126" s="29">
        <v>2909.60009765625</v>
      </c>
      <c r="D126" s="28">
        <v>45727</v>
      </c>
      <c r="E126" s="29">
        <v>4161.96</v>
      </c>
      <c r="I126" s="53">
        <v>45727</v>
      </c>
      <c r="J126" s="55">
        <f t="shared" si="1"/>
        <v>12123372.877558595</v>
      </c>
      <c r="K126" s="55">
        <f>J126/$Q$2</f>
        <v>389775.48894336453</v>
      </c>
    </row>
    <row r="127" spans="1:11" x14ac:dyDescent="0.25">
      <c r="A127" s="28">
        <v>45721</v>
      </c>
      <c r="B127" s="29">
        <v>2915.300048828125</v>
      </c>
      <c r="D127" s="28">
        <v>45728</v>
      </c>
      <c r="E127" s="29">
        <v>4152.76</v>
      </c>
      <c r="I127" s="53">
        <v>45728</v>
      </c>
      <c r="J127" s="55">
        <f t="shared" si="1"/>
        <v>12205377.321542969</v>
      </c>
      <c r="K127" s="55">
        <f>J127/$Q$2</f>
        <v>392411.99303940742</v>
      </c>
    </row>
    <row r="128" spans="1:11" x14ac:dyDescent="0.25">
      <c r="A128" s="28">
        <v>45722</v>
      </c>
      <c r="B128" s="29">
        <v>2916.60009765625</v>
      </c>
      <c r="D128" s="28">
        <v>45729</v>
      </c>
      <c r="E128" s="29">
        <v>4110.08</v>
      </c>
      <c r="I128" s="53">
        <v>45729</v>
      </c>
      <c r="J128" s="55">
        <f t="shared" si="1"/>
        <v>12265711.944687501</v>
      </c>
      <c r="K128" s="55">
        <f>J128/$Q$2</f>
        <v>394351.79621744092</v>
      </c>
    </row>
    <row r="129" spans="1:11" x14ac:dyDescent="0.25">
      <c r="A129" s="28">
        <v>45723</v>
      </c>
      <c r="B129" s="29">
        <v>2904.699951171875</v>
      </c>
      <c r="D129" s="28">
        <v>45730</v>
      </c>
      <c r="E129" s="29">
        <v>4114.18</v>
      </c>
      <c r="I129" s="53">
        <v>45730</v>
      </c>
      <c r="J129" s="55">
        <f t="shared" si="1"/>
        <v>12319912.010000002</v>
      </c>
      <c r="K129" s="55">
        <f>J129/$Q$2</f>
        <v>396094.3687813062</v>
      </c>
    </row>
    <row r="130" spans="1:11" x14ac:dyDescent="0.25">
      <c r="A130" s="28">
        <v>45726</v>
      </c>
      <c r="B130" s="29">
        <v>2891</v>
      </c>
      <c r="D130" s="28">
        <v>45731</v>
      </c>
      <c r="E130" s="29">
        <v>4102.67</v>
      </c>
      <c r="I130" s="53"/>
      <c r="J130" s="55"/>
      <c r="K130" s="55"/>
    </row>
    <row r="131" spans="1:11" x14ac:dyDescent="0.25">
      <c r="A131" s="28">
        <v>45727</v>
      </c>
      <c r="B131" s="29">
        <v>2912.89990234375</v>
      </c>
      <c r="D131" s="28">
        <v>45734</v>
      </c>
      <c r="E131" s="29">
        <v>4076.7</v>
      </c>
      <c r="I131" s="53">
        <v>45734</v>
      </c>
      <c r="J131" s="55">
        <f t="shared" ref="J131:J194" si="2">E131*_xlfn.XLOOKUP(I131,$A$2:$A$504,$B$2:$B$504)</f>
        <v>12373192.568115234</v>
      </c>
      <c r="K131" s="55">
        <f>J131/$Q$2</f>
        <v>397807.37850230408</v>
      </c>
    </row>
    <row r="132" spans="1:11" x14ac:dyDescent="0.25">
      <c r="A132" s="28">
        <v>45728</v>
      </c>
      <c r="B132" s="29">
        <v>2939.10009765625</v>
      </c>
      <c r="D132" s="28">
        <v>45735</v>
      </c>
      <c r="E132" s="29">
        <v>4126.03</v>
      </c>
      <c r="I132" s="53">
        <v>45735</v>
      </c>
      <c r="J132" s="55">
        <f t="shared" si="2"/>
        <v>12526214.074067382</v>
      </c>
      <c r="K132" s="55">
        <f>J132/$Q$2</f>
        <v>402727.13415972143</v>
      </c>
    </row>
    <row r="133" spans="1:11" x14ac:dyDescent="0.25">
      <c r="A133" s="28">
        <v>45729</v>
      </c>
      <c r="B133" s="29">
        <v>2984.300048828125</v>
      </c>
      <c r="D133" s="28">
        <v>45736</v>
      </c>
      <c r="E133" s="29">
        <v>4143.1400000000003</v>
      </c>
      <c r="I133" s="53">
        <v>45736</v>
      </c>
      <c r="J133" s="55">
        <f t="shared" si="2"/>
        <v>12595145.600000001</v>
      </c>
      <c r="K133" s="55">
        <f>J133/$Q$2</f>
        <v>404943.33418056986</v>
      </c>
    </row>
    <row r="134" spans="1:11" x14ac:dyDescent="0.25">
      <c r="A134" s="28">
        <v>45730</v>
      </c>
      <c r="B134" s="29">
        <v>2994.5</v>
      </c>
      <c r="D134" s="28">
        <v>45737</v>
      </c>
      <c r="E134" s="29">
        <v>4187.72</v>
      </c>
      <c r="I134" s="53">
        <v>45737</v>
      </c>
      <c r="J134" s="55">
        <f t="shared" si="2"/>
        <v>12639376.299521485</v>
      </c>
      <c r="K134" s="55">
        <f>J134/$Q$2</f>
        <v>406365.38419143821</v>
      </c>
    </row>
    <row r="135" spans="1:11" x14ac:dyDescent="0.25">
      <c r="A135" s="28">
        <v>45733</v>
      </c>
      <c r="B135" s="29">
        <v>3000</v>
      </c>
      <c r="D135" s="28">
        <v>45738</v>
      </c>
      <c r="E135" s="29">
        <v>4168.82</v>
      </c>
      <c r="I135" s="53"/>
      <c r="J135" s="55"/>
      <c r="K135" s="55"/>
    </row>
    <row r="136" spans="1:11" x14ac:dyDescent="0.25">
      <c r="A136" s="28">
        <v>45734</v>
      </c>
      <c r="B136" s="29">
        <v>3035.10009765625</v>
      </c>
      <c r="D136" s="28">
        <v>45742</v>
      </c>
      <c r="E136" s="29">
        <v>4107.1400000000003</v>
      </c>
      <c r="I136" s="53">
        <v>45742</v>
      </c>
      <c r="J136" s="55">
        <f t="shared" si="2"/>
        <v>12407258.82491211</v>
      </c>
      <c r="K136" s="55">
        <f>J136/$Q$2</f>
        <v>398902.63409112225</v>
      </c>
    </row>
    <row r="137" spans="1:11" x14ac:dyDescent="0.25">
      <c r="A137" s="28">
        <v>45735</v>
      </c>
      <c r="B137" s="29">
        <v>3035.89990234375</v>
      </c>
      <c r="D137" s="28">
        <v>45743</v>
      </c>
      <c r="E137" s="29">
        <v>4131.42</v>
      </c>
      <c r="I137" s="53">
        <v>45743</v>
      </c>
      <c r="J137" s="55">
        <f t="shared" si="2"/>
        <v>12642971.282270508</v>
      </c>
      <c r="K137" s="55">
        <f>J137/$Q$2</f>
        <v>406480.96557072061</v>
      </c>
    </row>
    <row r="138" spans="1:11" x14ac:dyDescent="0.25">
      <c r="A138" s="28">
        <v>45736</v>
      </c>
      <c r="B138" s="29">
        <v>3040</v>
      </c>
      <c r="D138" s="28">
        <v>45744</v>
      </c>
      <c r="E138" s="29">
        <v>4152.59</v>
      </c>
      <c r="I138" s="53">
        <v>45744</v>
      </c>
      <c r="J138" s="55">
        <f t="shared" si="2"/>
        <v>12816969.035</v>
      </c>
      <c r="K138" s="55">
        <f>J138/$Q$2</f>
        <v>412075.12322223734</v>
      </c>
    </row>
    <row r="139" spans="1:11" x14ac:dyDescent="0.25">
      <c r="A139" s="28">
        <v>45737</v>
      </c>
      <c r="B139" s="29">
        <v>3018.199951171875</v>
      </c>
      <c r="D139" s="28">
        <v>45745</v>
      </c>
      <c r="E139" s="29">
        <v>4192.57</v>
      </c>
      <c r="I139" s="53"/>
      <c r="J139" s="55"/>
      <c r="K139" s="55"/>
    </row>
    <row r="140" spans="1:11" x14ac:dyDescent="0.25">
      <c r="A140" s="28">
        <v>45740</v>
      </c>
      <c r="B140" s="29">
        <v>3013.10009765625</v>
      </c>
      <c r="D140" s="28">
        <v>45748</v>
      </c>
      <c r="E140" s="29">
        <v>4191.79</v>
      </c>
      <c r="I140" s="53">
        <v>45748</v>
      </c>
      <c r="J140" s="55">
        <f t="shared" si="2"/>
        <v>13073773.421645507</v>
      </c>
      <c r="K140" s="55">
        <f>J140/$Q$2</f>
        <v>420331.57597498898</v>
      </c>
    </row>
    <row r="141" spans="1:11" x14ac:dyDescent="0.25">
      <c r="A141" s="28">
        <v>45741</v>
      </c>
      <c r="B141" s="29">
        <v>3023.699951171875</v>
      </c>
      <c r="D141" s="28">
        <v>45749</v>
      </c>
      <c r="E141" s="29">
        <v>4149.24</v>
      </c>
      <c r="I141" s="53">
        <v>45749</v>
      </c>
      <c r="J141" s="55">
        <f t="shared" si="2"/>
        <v>13028198.270800781</v>
      </c>
      <c r="K141" s="55">
        <f>J141/$Q$2</f>
        <v>418866.3008503532</v>
      </c>
    </row>
    <row r="142" spans="1:11" x14ac:dyDescent="0.25">
      <c r="A142" s="28">
        <v>45742</v>
      </c>
      <c r="B142" s="29">
        <v>3020.89990234375</v>
      </c>
      <c r="D142" s="28">
        <v>45750</v>
      </c>
      <c r="E142" s="29">
        <v>4146.07</v>
      </c>
      <c r="I142" s="53">
        <v>45750</v>
      </c>
      <c r="J142" s="55">
        <f t="shared" si="2"/>
        <v>12840378.789999999</v>
      </c>
      <c r="K142" s="55">
        <f>J142/$Q$2</f>
        <v>412827.764322476</v>
      </c>
    </row>
    <row r="143" spans="1:11" x14ac:dyDescent="0.25">
      <c r="A143" s="28">
        <v>45743</v>
      </c>
      <c r="B143" s="29">
        <v>3060.199951171875</v>
      </c>
      <c r="D143" s="28">
        <v>45751</v>
      </c>
      <c r="E143" s="29">
        <v>4130.01</v>
      </c>
      <c r="I143" s="53">
        <v>45751</v>
      </c>
      <c r="J143" s="55">
        <f t="shared" si="2"/>
        <v>12439590.120000001</v>
      </c>
      <c r="K143" s="55">
        <f>J143/$Q$2</f>
        <v>399942.10936572857</v>
      </c>
    </row>
    <row r="144" spans="1:11" x14ac:dyDescent="0.25">
      <c r="A144" s="28">
        <v>45744</v>
      </c>
      <c r="B144" s="29">
        <v>3086.5</v>
      </c>
      <c r="D144" s="28">
        <v>45752</v>
      </c>
      <c r="E144" s="29">
        <v>4274.03</v>
      </c>
      <c r="I144" s="53"/>
      <c r="J144" s="55"/>
      <c r="K144" s="55"/>
    </row>
    <row r="145" spans="1:11" x14ac:dyDescent="0.25">
      <c r="A145" s="28">
        <v>45747</v>
      </c>
      <c r="B145" s="29">
        <v>3122.800048828125</v>
      </c>
      <c r="D145" s="28">
        <v>45755</v>
      </c>
      <c r="E145" s="29">
        <v>4374.53</v>
      </c>
      <c r="I145" s="53">
        <v>45755</v>
      </c>
      <c r="J145" s="55">
        <f t="shared" si="2"/>
        <v>12985354.424799804</v>
      </c>
      <c r="K145" s="55">
        <f>J145/$Q$2</f>
        <v>417488.83921555046</v>
      </c>
    </row>
    <row r="146" spans="1:11" x14ac:dyDescent="0.25">
      <c r="A146" s="28">
        <v>45748</v>
      </c>
      <c r="B146" s="29">
        <v>3118.89990234375</v>
      </c>
      <c r="D146" s="28">
        <v>45756</v>
      </c>
      <c r="E146" s="29">
        <v>4387.9799999999996</v>
      </c>
      <c r="I146" s="53">
        <v>45756</v>
      </c>
      <c r="J146" s="55">
        <f t="shared" si="2"/>
        <v>13411860.869999999</v>
      </c>
      <c r="K146" s="55">
        <f>J146/$Q$2</f>
        <v>431201.33984506835</v>
      </c>
    </row>
    <row r="147" spans="1:11" x14ac:dyDescent="0.25">
      <c r="A147" s="28">
        <v>45749</v>
      </c>
      <c r="B147" s="29">
        <v>3139.89990234375</v>
      </c>
      <c r="D147" s="28">
        <v>45757</v>
      </c>
      <c r="E147" s="29">
        <v>4416.6899999999996</v>
      </c>
      <c r="I147" s="53">
        <v>45757</v>
      </c>
      <c r="J147" s="55">
        <f t="shared" si="2"/>
        <v>13935540.072341308</v>
      </c>
      <c r="K147" s="55">
        <f>J147/$Q$2</f>
        <v>448038.01716280502</v>
      </c>
    </row>
    <row r="148" spans="1:11" x14ac:dyDescent="0.25">
      <c r="A148" s="28">
        <v>45750</v>
      </c>
      <c r="B148" s="29">
        <v>3097</v>
      </c>
      <c r="D148" s="28">
        <v>45758</v>
      </c>
      <c r="E148" s="29">
        <v>4351.55</v>
      </c>
      <c r="I148" s="53">
        <v>45758</v>
      </c>
      <c r="J148" s="55">
        <f t="shared" si="2"/>
        <v>14021564.197521973</v>
      </c>
      <c r="K148" s="55">
        <f>J148/$Q$2</f>
        <v>450803.75701027655</v>
      </c>
    </row>
    <row r="149" spans="1:11" x14ac:dyDescent="0.25">
      <c r="A149" s="28">
        <v>45751</v>
      </c>
      <c r="B149" s="29">
        <v>3012</v>
      </c>
      <c r="D149" s="28">
        <v>45759</v>
      </c>
      <c r="E149" s="29">
        <v>4338.3599999999997</v>
      </c>
      <c r="I149" s="53"/>
      <c r="J149" s="55"/>
      <c r="K149" s="55"/>
    </row>
    <row r="150" spans="1:11" x14ac:dyDescent="0.25">
      <c r="A150" s="28">
        <v>45754</v>
      </c>
      <c r="B150" s="29">
        <v>2951.300048828125</v>
      </c>
      <c r="D150" s="28">
        <v>45762</v>
      </c>
      <c r="E150" s="29">
        <v>4286.17</v>
      </c>
      <c r="I150" s="53">
        <v>45762</v>
      </c>
      <c r="J150" s="55">
        <f t="shared" si="2"/>
        <v>13795895.169714356</v>
      </c>
      <c r="K150" s="55">
        <f>J150/$Q$2</f>
        <v>443548.32928884518</v>
      </c>
    </row>
    <row r="151" spans="1:11" x14ac:dyDescent="0.25">
      <c r="A151" s="28">
        <v>45755</v>
      </c>
      <c r="B151" s="29">
        <v>2968.39990234375</v>
      </c>
      <c r="D151" s="28">
        <v>45763</v>
      </c>
      <c r="E151" s="29">
        <v>4329.8999999999996</v>
      </c>
      <c r="I151" s="53">
        <v>45763</v>
      </c>
      <c r="J151" s="55">
        <f t="shared" si="2"/>
        <v>14403845.762841797</v>
      </c>
      <c r="K151" s="55">
        <f>J151/$Q$2</f>
        <v>463094.39473473257</v>
      </c>
    </row>
    <row r="152" spans="1:11" x14ac:dyDescent="0.25">
      <c r="A152" s="28">
        <v>45756</v>
      </c>
      <c r="B152" s="29">
        <v>3056.5</v>
      </c>
      <c r="D152" s="28">
        <v>45764</v>
      </c>
      <c r="E152" s="29">
        <v>4306.54</v>
      </c>
      <c r="I152" s="53">
        <v>45764</v>
      </c>
      <c r="J152" s="55">
        <f t="shared" si="2"/>
        <v>14249048.687719727</v>
      </c>
      <c r="K152" s="55">
        <f>J152/$Q$2</f>
        <v>458117.55320291803</v>
      </c>
    </row>
    <row r="153" spans="1:11" x14ac:dyDescent="0.25">
      <c r="A153" s="28">
        <v>45757</v>
      </c>
      <c r="B153" s="29">
        <v>3155.199951171875</v>
      </c>
      <c r="D153" s="28">
        <v>45769</v>
      </c>
      <c r="E153" s="29">
        <v>4272.83</v>
      </c>
      <c r="I153" s="53">
        <v>45769</v>
      </c>
      <c r="J153" s="55">
        <f t="shared" si="2"/>
        <v>14531040.472634276</v>
      </c>
      <c r="K153" s="55">
        <f>J153/$Q$2</f>
        <v>467183.79961414076</v>
      </c>
    </row>
    <row r="154" spans="1:11" x14ac:dyDescent="0.25">
      <c r="A154" s="28">
        <v>45758</v>
      </c>
      <c r="B154" s="29">
        <v>3222.199951171875</v>
      </c>
      <c r="D154" s="28">
        <v>45770</v>
      </c>
      <c r="E154" s="29">
        <v>4283.22</v>
      </c>
      <c r="I154" s="53">
        <v>45770</v>
      </c>
      <c r="J154" s="55">
        <f t="shared" si="2"/>
        <v>14033113.895141602</v>
      </c>
      <c r="K154" s="55">
        <f>J154/$Q$2</f>
        <v>451175.0884113895</v>
      </c>
    </row>
    <row r="155" spans="1:11" x14ac:dyDescent="0.25">
      <c r="A155" s="28">
        <v>45761</v>
      </c>
      <c r="B155" s="29">
        <v>3204.800048828125</v>
      </c>
      <c r="D155" s="28">
        <v>45771</v>
      </c>
      <c r="E155" s="29">
        <v>4298.3100000000004</v>
      </c>
      <c r="I155" s="53">
        <v>45771</v>
      </c>
      <c r="J155" s="55">
        <f t="shared" si="2"/>
        <v>14321968.920000002</v>
      </c>
      <c r="K155" s="55">
        <f>J155/$Q$2</f>
        <v>460461.99311068666</v>
      </c>
    </row>
    <row r="156" spans="1:11" x14ac:dyDescent="0.25">
      <c r="A156" s="28">
        <v>45762</v>
      </c>
      <c r="B156" s="29">
        <v>3218.699951171875</v>
      </c>
      <c r="D156" s="28">
        <v>45772</v>
      </c>
      <c r="E156" s="29">
        <v>4274.57</v>
      </c>
      <c r="I156" s="53">
        <v>45772</v>
      </c>
      <c r="J156" s="55">
        <f t="shared" si="2"/>
        <v>14030848.150561523</v>
      </c>
      <c r="K156" s="55">
        <f>J156/$Q$2</f>
        <v>451102.24303160614</v>
      </c>
    </row>
    <row r="157" spans="1:11" x14ac:dyDescent="0.25">
      <c r="A157" s="28">
        <v>45763</v>
      </c>
      <c r="B157" s="29">
        <v>3326.60009765625</v>
      </c>
      <c r="D157" s="28">
        <v>45773</v>
      </c>
      <c r="E157" s="29">
        <v>4239.62</v>
      </c>
      <c r="I157" s="53"/>
      <c r="J157" s="55"/>
      <c r="K157" s="55"/>
    </row>
    <row r="158" spans="1:11" x14ac:dyDescent="0.25">
      <c r="A158" s="28">
        <v>45764</v>
      </c>
      <c r="B158" s="29">
        <v>3308.699951171875</v>
      </c>
      <c r="D158" s="28">
        <v>45776</v>
      </c>
      <c r="E158" s="29">
        <v>4227.32</v>
      </c>
      <c r="I158" s="53">
        <v>45776</v>
      </c>
      <c r="J158" s="55">
        <f t="shared" si="2"/>
        <v>14029629.822412109</v>
      </c>
      <c r="K158" s="55">
        <f>J158/$Q$2</f>
        <v>451063.07287203689</v>
      </c>
    </row>
    <row r="159" spans="1:11" x14ac:dyDescent="0.25">
      <c r="A159" s="28">
        <v>45768</v>
      </c>
      <c r="B159" s="29">
        <v>3406.199951171875</v>
      </c>
      <c r="D159" s="28">
        <v>45777</v>
      </c>
      <c r="E159" s="29">
        <v>4198.83</v>
      </c>
      <c r="I159" s="53">
        <v>45777</v>
      </c>
      <c r="J159" s="55">
        <f t="shared" si="2"/>
        <v>13877133.15</v>
      </c>
      <c r="K159" s="55">
        <f>J159/$Q$2</f>
        <v>446160.19100475614</v>
      </c>
    </row>
    <row r="160" spans="1:11" x14ac:dyDescent="0.25">
      <c r="A160" s="28">
        <v>45769</v>
      </c>
      <c r="B160" s="29">
        <v>3400.800048828125</v>
      </c>
      <c r="D160" s="28">
        <v>45778</v>
      </c>
      <c r="E160" s="29">
        <v>4222.25</v>
      </c>
      <c r="I160" s="53">
        <v>45778</v>
      </c>
      <c r="J160" s="55">
        <f t="shared" si="2"/>
        <v>13553422.5</v>
      </c>
      <c r="K160" s="55">
        <f>J160/$Q$2</f>
        <v>435752.65193504025</v>
      </c>
    </row>
    <row r="161" spans="1:11" x14ac:dyDescent="0.25">
      <c r="A161" s="28">
        <v>45770</v>
      </c>
      <c r="B161" s="29">
        <v>3276.300048828125</v>
      </c>
      <c r="D161" s="28">
        <v>45780</v>
      </c>
      <c r="E161" s="29">
        <v>4243.8</v>
      </c>
      <c r="I161" s="53"/>
      <c r="J161" s="55"/>
      <c r="K161" s="55"/>
    </row>
    <row r="162" spans="1:11" x14ac:dyDescent="0.25">
      <c r="A162" s="28">
        <v>45771</v>
      </c>
      <c r="B162" s="29">
        <v>3332</v>
      </c>
      <c r="D162" s="28">
        <v>45783</v>
      </c>
      <c r="E162" s="29">
        <v>4283.62</v>
      </c>
      <c r="I162" s="53">
        <v>45783</v>
      </c>
      <c r="J162" s="55">
        <f t="shared" si="2"/>
        <v>14613140.849677734</v>
      </c>
      <c r="K162" s="55">
        <f>J162/$Q$2</f>
        <v>469823.38802965381</v>
      </c>
    </row>
    <row r="163" spans="1:11" x14ac:dyDescent="0.25">
      <c r="A163" s="28">
        <v>45772</v>
      </c>
      <c r="B163" s="29">
        <v>3282.39990234375</v>
      </c>
      <c r="D163" s="28">
        <v>45784</v>
      </c>
      <c r="E163" s="29">
        <v>4305.0200000000004</v>
      </c>
      <c r="I163" s="53">
        <v>45784</v>
      </c>
      <c r="J163" s="55">
        <f t="shared" si="2"/>
        <v>14556994.207587892</v>
      </c>
      <c r="K163" s="55">
        <f>J163/$Q$2</f>
        <v>468018.23156914383</v>
      </c>
    </row>
    <row r="164" spans="1:11" x14ac:dyDescent="0.25">
      <c r="A164" s="28">
        <v>45775</v>
      </c>
      <c r="B164" s="29">
        <v>3332.5</v>
      </c>
      <c r="D164" s="28">
        <v>45785</v>
      </c>
      <c r="E164" s="29">
        <v>4306.79</v>
      </c>
      <c r="I164" s="53">
        <v>45785</v>
      </c>
      <c r="J164" s="55">
        <f t="shared" si="2"/>
        <v>14197764.334584961</v>
      </c>
      <c r="K164" s="55">
        <f>J164/$Q$2</f>
        <v>456468.72296234616</v>
      </c>
    </row>
    <row r="165" spans="1:11" x14ac:dyDescent="0.25">
      <c r="A165" s="28">
        <v>45776</v>
      </c>
      <c r="B165" s="29">
        <v>3318.800048828125</v>
      </c>
      <c r="D165" s="28">
        <v>45786</v>
      </c>
      <c r="E165" s="29">
        <v>4260.22</v>
      </c>
      <c r="I165" s="53">
        <v>45786</v>
      </c>
      <c r="J165" s="55">
        <f t="shared" si="2"/>
        <v>14209537.371962892</v>
      </c>
      <c r="K165" s="55">
        <f>J165/$Q$2</f>
        <v>456847.23490342702</v>
      </c>
    </row>
    <row r="166" spans="1:11" x14ac:dyDescent="0.25">
      <c r="A166" s="28">
        <v>45777</v>
      </c>
      <c r="B166" s="29">
        <v>3305</v>
      </c>
      <c r="D166" s="28">
        <v>45787</v>
      </c>
      <c r="E166" s="29">
        <v>4239.2299999999996</v>
      </c>
      <c r="I166" s="53"/>
      <c r="J166" s="55"/>
      <c r="K166" s="55"/>
    </row>
    <row r="167" spans="1:11" x14ac:dyDescent="0.25">
      <c r="A167" s="28">
        <v>45778</v>
      </c>
      <c r="B167" s="29">
        <v>3210</v>
      </c>
      <c r="D167" s="28">
        <v>45790</v>
      </c>
      <c r="E167" s="29">
        <v>4218.6000000000004</v>
      </c>
      <c r="I167" s="53">
        <v>45790</v>
      </c>
      <c r="J167" s="55">
        <f t="shared" si="2"/>
        <v>13669529.785986328</v>
      </c>
      <c r="K167" s="55">
        <f>J167/$Q$2</f>
        <v>439485.58786155796</v>
      </c>
    </row>
    <row r="168" spans="1:11" x14ac:dyDescent="0.25">
      <c r="A168" s="28">
        <v>45779</v>
      </c>
      <c r="B168" s="29">
        <v>3231.89990234375</v>
      </c>
      <c r="D168" s="28">
        <v>45791</v>
      </c>
      <c r="E168" s="29">
        <v>4204.63</v>
      </c>
      <c r="I168" s="53">
        <v>45791</v>
      </c>
      <c r="J168" s="55">
        <f t="shared" si="2"/>
        <v>13376609.471391601</v>
      </c>
      <c r="K168" s="55">
        <f>J168/$Q$2</f>
        <v>430067.98106222006</v>
      </c>
    </row>
    <row r="169" spans="1:11" x14ac:dyDescent="0.25">
      <c r="A169" s="28">
        <v>45782</v>
      </c>
      <c r="B169" s="29">
        <v>3311.300048828125</v>
      </c>
      <c r="D169" s="28">
        <v>45792</v>
      </c>
      <c r="E169" s="29">
        <v>4194.18</v>
      </c>
      <c r="I169" s="53">
        <v>45792</v>
      </c>
      <c r="J169" s="55">
        <f t="shared" si="2"/>
        <v>13508195.321206056</v>
      </c>
      <c r="K169" s="55">
        <f>J169/$Q$2</f>
        <v>434298.56437162217</v>
      </c>
    </row>
    <row r="170" spans="1:11" x14ac:dyDescent="0.25">
      <c r="A170" s="28">
        <v>45783</v>
      </c>
      <c r="B170" s="29">
        <v>3411.39990234375</v>
      </c>
      <c r="D170" s="28">
        <v>45793</v>
      </c>
      <c r="E170" s="29">
        <v>4196.66</v>
      </c>
      <c r="I170" s="53">
        <v>45793</v>
      </c>
      <c r="J170" s="55">
        <f t="shared" si="2"/>
        <v>13353772.119999999</v>
      </c>
      <c r="K170" s="55">
        <f>J170/$Q$2</f>
        <v>429333.74316532997</v>
      </c>
    </row>
    <row r="171" spans="1:11" x14ac:dyDescent="0.25">
      <c r="A171" s="28">
        <v>45784</v>
      </c>
      <c r="B171" s="29">
        <v>3381.39990234375</v>
      </c>
      <c r="D171" s="28">
        <v>45794</v>
      </c>
      <c r="E171" s="29">
        <v>4194.28</v>
      </c>
      <c r="I171" s="53"/>
      <c r="J171" s="55"/>
      <c r="K171" s="55"/>
    </row>
    <row r="172" spans="1:11" x14ac:dyDescent="0.25">
      <c r="A172" s="28">
        <v>45785</v>
      </c>
      <c r="B172" s="29">
        <v>3296.60009765625</v>
      </c>
      <c r="D172" s="28">
        <v>45797</v>
      </c>
      <c r="E172" s="29">
        <v>4168.03</v>
      </c>
      <c r="I172" s="53">
        <v>45797</v>
      </c>
      <c r="J172" s="55">
        <f t="shared" si="2"/>
        <v>13672389.012517089</v>
      </c>
      <c r="K172" s="55">
        <f>J172/$Q$2</f>
        <v>439577.51412913069</v>
      </c>
    </row>
    <row r="173" spans="1:11" x14ac:dyDescent="0.25">
      <c r="A173" s="28">
        <v>45786</v>
      </c>
      <c r="B173" s="29">
        <v>3335.39990234375</v>
      </c>
      <c r="D173" s="28">
        <v>45798</v>
      </c>
      <c r="E173" s="29">
        <v>4172.76</v>
      </c>
      <c r="I173" s="53">
        <v>45798</v>
      </c>
      <c r="J173" s="55">
        <f t="shared" si="2"/>
        <v>13808914.871748047</v>
      </c>
      <c r="K173" s="55">
        <f>J173/$Q$2</f>
        <v>443966.92242932942</v>
      </c>
    </row>
    <row r="174" spans="1:11" x14ac:dyDescent="0.25">
      <c r="A174" s="28">
        <v>45789</v>
      </c>
      <c r="B174" s="29">
        <v>3220</v>
      </c>
      <c r="D174" s="28">
        <v>45799</v>
      </c>
      <c r="E174" s="29">
        <v>4169.47</v>
      </c>
      <c r="I174" s="53">
        <v>45799</v>
      </c>
      <c r="J174" s="55">
        <f t="shared" si="2"/>
        <v>13727146.284587404</v>
      </c>
      <c r="K174" s="55">
        <f>J174/$Q$2</f>
        <v>441338.00130625279</v>
      </c>
    </row>
    <row r="175" spans="1:11" x14ac:dyDescent="0.25">
      <c r="A175" s="28">
        <v>45790</v>
      </c>
      <c r="B175" s="29">
        <v>3240.300048828125</v>
      </c>
      <c r="D175" s="28">
        <v>45800</v>
      </c>
      <c r="E175" s="29">
        <v>4176.54</v>
      </c>
      <c r="I175" s="53">
        <v>45800</v>
      </c>
      <c r="J175" s="55">
        <f t="shared" si="2"/>
        <v>14048210.351865234</v>
      </c>
      <c r="K175" s="55">
        <f>J175/$Q$2</f>
        <v>451660.45076559525</v>
      </c>
    </row>
    <row r="176" spans="1:11" x14ac:dyDescent="0.25">
      <c r="A176" s="28">
        <v>45791</v>
      </c>
      <c r="B176" s="29">
        <v>3181.39990234375</v>
      </c>
      <c r="D176" s="28">
        <v>45801</v>
      </c>
      <c r="E176" s="29">
        <v>4165.41</v>
      </c>
      <c r="I176" s="53"/>
      <c r="J176" s="55"/>
      <c r="K176" s="55"/>
    </row>
    <row r="177" spans="1:11" x14ac:dyDescent="0.25">
      <c r="A177" s="28">
        <v>45792</v>
      </c>
      <c r="B177" s="29">
        <v>3220.699951171875</v>
      </c>
      <c r="D177" s="28">
        <v>45805</v>
      </c>
      <c r="E177" s="29">
        <v>4128.1499999999996</v>
      </c>
      <c r="I177" s="53">
        <v>45805</v>
      </c>
      <c r="J177" s="55">
        <f t="shared" si="2"/>
        <v>13596475.243139647</v>
      </c>
      <c r="K177" s="55">
        <f>J177/$Q$2</f>
        <v>437136.82976880728</v>
      </c>
    </row>
    <row r="178" spans="1:11" x14ac:dyDescent="0.25">
      <c r="A178" s="28">
        <v>45793</v>
      </c>
      <c r="B178" s="29">
        <v>3182</v>
      </c>
      <c r="D178" s="28">
        <v>45806</v>
      </c>
      <c r="E178" s="29">
        <v>4126.4399999999996</v>
      </c>
      <c r="I178" s="53">
        <v>45806</v>
      </c>
      <c r="J178" s="55">
        <f t="shared" si="2"/>
        <v>13687814.526972655</v>
      </c>
      <c r="K178" s="55">
        <f>J178/$Q$2</f>
        <v>440073.45593508234</v>
      </c>
    </row>
    <row r="179" spans="1:11" x14ac:dyDescent="0.25">
      <c r="A179" s="28">
        <v>45796</v>
      </c>
      <c r="B179" s="29">
        <v>3228.89990234375</v>
      </c>
      <c r="D179" s="28">
        <v>45807</v>
      </c>
      <c r="E179" s="29">
        <v>4106.79</v>
      </c>
      <c r="I179" s="53">
        <v>45807</v>
      </c>
      <c r="J179" s="55">
        <f t="shared" si="2"/>
        <v>13506821.229946289</v>
      </c>
      <c r="K179" s="55">
        <f>J179/$Q$2</f>
        <v>434254.38631176722</v>
      </c>
    </row>
    <row r="180" spans="1:11" x14ac:dyDescent="0.25">
      <c r="A180" s="28">
        <v>45797</v>
      </c>
      <c r="B180" s="29">
        <v>3280.300048828125</v>
      </c>
      <c r="D180" s="28">
        <v>45808</v>
      </c>
      <c r="E180" s="29">
        <v>4148.72</v>
      </c>
      <c r="I180" s="53"/>
      <c r="J180" s="55"/>
      <c r="K180" s="55"/>
    </row>
    <row r="181" spans="1:11" x14ac:dyDescent="0.25">
      <c r="A181" s="28">
        <v>45798</v>
      </c>
      <c r="B181" s="29">
        <v>3309.300048828125</v>
      </c>
      <c r="D181" s="28">
        <v>45812</v>
      </c>
      <c r="E181" s="29">
        <v>4136.71</v>
      </c>
      <c r="I181" s="53">
        <v>45812</v>
      </c>
      <c r="J181" s="55">
        <f t="shared" si="2"/>
        <v>13955191.185000001</v>
      </c>
      <c r="K181" s="55">
        <f>J181/$Q$2</f>
        <v>448669.8151056862</v>
      </c>
    </row>
    <row r="182" spans="1:11" x14ac:dyDescent="0.25">
      <c r="A182" s="28">
        <v>45799</v>
      </c>
      <c r="B182" s="29">
        <v>3292.300048828125</v>
      </c>
      <c r="D182" s="28">
        <v>45813</v>
      </c>
      <c r="E182" s="29">
        <v>4107.8500000000004</v>
      </c>
      <c r="I182" s="53">
        <v>45813</v>
      </c>
      <c r="J182" s="55">
        <f t="shared" si="2"/>
        <v>13764172.794421388</v>
      </c>
      <c r="K182" s="55">
        <f>J182/$Q$2</f>
        <v>442528.43124024605</v>
      </c>
    </row>
    <row r="183" spans="1:11" x14ac:dyDescent="0.25">
      <c r="A183" s="28">
        <v>45800</v>
      </c>
      <c r="B183" s="29">
        <v>3363.60009765625</v>
      </c>
      <c r="D183" s="28">
        <v>45814</v>
      </c>
      <c r="E183" s="29">
        <v>4097.66</v>
      </c>
      <c r="I183" s="53">
        <v>45814</v>
      </c>
      <c r="J183" s="55">
        <f t="shared" si="2"/>
        <v>13615294.681918945</v>
      </c>
      <c r="K183" s="55">
        <f>J183/$Q$2</f>
        <v>437741.88877556432</v>
      </c>
    </row>
    <row r="184" spans="1:11" x14ac:dyDescent="0.25">
      <c r="A184" s="28">
        <v>45804</v>
      </c>
      <c r="B184" s="29">
        <v>3299.10009765625</v>
      </c>
      <c r="D184" s="28">
        <v>45815</v>
      </c>
      <c r="E184" s="29">
        <v>4138.72</v>
      </c>
      <c r="I184" s="53"/>
      <c r="J184" s="55"/>
      <c r="K184" s="55"/>
    </row>
    <row r="185" spans="1:11" x14ac:dyDescent="0.25">
      <c r="A185" s="28">
        <v>45805</v>
      </c>
      <c r="B185" s="29">
        <v>3293.60009765625</v>
      </c>
      <c r="D185" s="28">
        <v>45818</v>
      </c>
      <c r="E185" s="29">
        <v>4138.53</v>
      </c>
      <c r="I185" s="53">
        <v>45818</v>
      </c>
      <c r="J185" s="55">
        <f t="shared" si="2"/>
        <v>13743643.87284668</v>
      </c>
      <c r="K185" s="55">
        <f>J185/$Q$2</f>
        <v>441868.41108537035</v>
      </c>
    </row>
    <row r="186" spans="1:11" x14ac:dyDescent="0.25">
      <c r="A186" s="28">
        <v>45806</v>
      </c>
      <c r="B186" s="29">
        <v>3317.10009765625</v>
      </c>
      <c r="D186" s="28">
        <v>45819</v>
      </c>
      <c r="E186" s="29">
        <v>4190.8999999999996</v>
      </c>
      <c r="I186" s="53">
        <v>45819</v>
      </c>
      <c r="J186" s="55">
        <f t="shared" si="2"/>
        <v>13919236.374633787</v>
      </c>
      <c r="K186" s="55">
        <f>J186/$Q$2</f>
        <v>447513.84110967902</v>
      </c>
    </row>
    <row r="187" spans="1:11" x14ac:dyDescent="0.25">
      <c r="A187" s="28">
        <v>45807</v>
      </c>
      <c r="B187" s="29">
        <v>3288.89990234375</v>
      </c>
      <c r="D187" s="28">
        <v>45820</v>
      </c>
      <c r="E187" s="29">
        <v>4190.6099999999997</v>
      </c>
      <c r="I187" s="53">
        <v>45820</v>
      </c>
      <c r="J187" s="55">
        <f t="shared" si="2"/>
        <v>14168032.939760741</v>
      </c>
      <c r="K187" s="55">
        <f>J187/$Q$2</f>
        <v>455512.83642222086</v>
      </c>
    </row>
    <row r="188" spans="1:11" x14ac:dyDescent="0.25">
      <c r="A188" s="28">
        <v>45810</v>
      </c>
      <c r="B188" s="29">
        <v>3370.60009765625</v>
      </c>
      <c r="D188" s="28">
        <v>45821</v>
      </c>
      <c r="E188" s="29">
        <v>4169.13</v>
      </c>
      <c r="I188" s="53">
        <v>45821</v>
      </c>
      <c r="J188" s="55">
        <f t="shared" si="2"/>
        <v>14305118.652429199</v>
      </c>
      <c r="K188" s="55">
        <f>J188/$Q$2</f>
        <v>459920.2444284042</v>
      </c>
    </row>
    <row r="189" spans="1:11" x14ac:dyDescent="0.25">
      <c r="A189" s="28">
        <v>45811</v>
      </c>
      <c r="B189" s="29">
        <v>3350.199951171875</v>
      </c>
      <c r="D189" s="28">
        <v>45822</v>
      </c>
      <c r="E189" s="29">
        <v>4147.34</v>
      </c>
      <c r="I189" s="53"/>
      <c r="J189" s="55"/>
      <c r="K189" s="55"/>
    </row>
    <row r="190" spans="1:11" x14ac:dyDescent="0.25">
      <c r="A190" s="28">
        <v>45812</v>
      </c>
      <c r="B190" s="29">
        <v>3373.5</v>
      </c>
      <c r="D190" s="28">
        <v>45825</v>
      </c>
      <c r="E190" s="29">
        <v>4096.4399999999996</v>
      </c>
      <c r="I190" s="53">
        <v>45825</v>
      </c>
      <c r="J190" s="55">
        <f t="shared" si="2"/>
        <v>13873004.104042968</v>
      </c>
      <c r="K190" s="55">
        <f>J190/$Q$2</f>
        <v>446027.43909462134</v>
      </c>
    </row>
    <row r="191" spans="1:11" x14ac:dyDescent="0.25">
      <c r="A191" s="28">
        <v>45813</v>
      </c>
      <c r="B191" s="29">
        <v>3350.699951171875</v>
      </c>
      <c r="D191" s="28">
        <v>45826</v>
      </c>
      <c r="E191" s="29">
        <v>4098.83</v>
      </c>
      <c r="I191" s="53">
        <v>45826</v>
      </c>
      <c r="J191" s="55">
        <f t="shared" si="2"/>
        <v>13894214.134138184</v>
      </c>
      <c r="K191" s="55">
        <f>J191/$Q$2</f>
        <v>446709.35739692562</v>
      </c>
    </row>
    <row r="192" spans="1:11" x14ac:dyDescent="0.25">
      <c r="A192" s="28">
        <v>45814</v>
      </c>
      <c r="B192" s="29">
        <v>3322.699951171875</v>
      </c>
      <c r="D192" s="28">
        <v>45827</v>
      </c>
      <c r="E192" s="29">
        <v>4076.32</v>
      </c>
      <c r="I192" s="53"/>
      <c r="J192" s="55"/>
      <c r="K192" s="55"/>
    </row>
    <row r="193" spans="1:11" x14ac:dyDescent="0.25">
      <c r="A193" s="28">
        <v>45817</v>
      </c>
      <c r="B193" s="29">
        <v>3332.10009765625</v>
      </c>
      <c r="D193" s="28">
        <v>45829</v>
      </c>
      <c r="E193" s="29">
        <v>4080.06</v>
      </c>
      <c r="I193" s="53"/>
      <c r="J193" s="55"/>
      <c r="K193" s="55"/>
    </row>
    <row r="194" spans="1:11" x14ac:dyDescent="0.25">
      <c r="A194" s="28">
        <v>45818</v>
      </c>
      <c r="B194" s="29">
        <v>3320.89990234375</v>
      </c>
      <c r="D194" s="28">
        <v>45833</v>
      </c>
      <c r="E194" s="29">
        <v>4081.15</v>
      </c>
      <c r="I194" s="53">
        <v>45833</v>
      </c>
      <c r="J194" s="55">
        <f t="shared" si="2"/>
        <v>13578394.563549805</v>
      </c>
      <c r="K194" s="55">
        <f>J194/$Q$2</f>
        <v>436555.52242152573</v>
      </c>
    </row>
    <row r="195" spans="1:11" x14ac:dyDescent="0.25">
      <c r="A195" s="28">
        <v>45819</v>
      </c>
      <c r="B195" s="29">
        <v>3321.300048828125</v>
      </c>
      <c r="D195" s="28">
        <v>45834</v>
      </c>
      <c r="E195" s="29">
        <v>4067.64</v>
      </c>
      <c r="I195" s="53">
        <v>45834</v>
      </c>
      <c r="J195" s="55">
        <f t="shared" ref="J195:J258" si="3">E195*_xlfn.XLOOKUP(I195,$A$2:$A$504,$B$2:$B$504)</f>
        <v>13559477.939999999</v>
      </c>
      <c r="K195" s="55">
        <f>J195/$Q$2</f>
        <v>435947.33885184181</v>
      </c>
    </row>
    <row r="196" spans="1:11" x14ac:dyDescent="0.25">
      <c r="A196" s="28">
        <v>45820</v>
      </c>
      <c r="B196" s="29">
        <v>3380.89990234375</v>
      </c>
      <c r="D196" s="28">
        <v>45835</v>
      </c>
      <c r="E196" s="29">
        <v>4042.87</v>
      </c>
      <c r="I196" s="53">
        <v>45835</v>
      </c>
      <c r="J196" s="55">
        <f t="shared" si="3"/>
        <v>13235143.321594238</v>
      </c>
      <c r="K196" s="55">
        <f>J196/$Q$2</f>
        <v>425519.73873204552</v>
      </c>
    </row>
    <row r="197" spans="1:11" x14ac:dyDescent="0.25">
      <c r="A197" s="28">
        <v>45821</v>
      </c>
      <c r="B197" s="29">
        <v>3431.199951171875</v>
      </c>
      <c r="D197" s="28">
        <v>45836</v>
      </c>
      <c r="E197" s="29">
        <v>4069.67</v>
      </c>
      <c r="I197" s="53"/>
      <c r="J197" s="55"/>
      <c r="K197" s="55"/>
    </row>
    <row r="198" spans="1:11" x14ac:dyDescent="0.25">
      <c r="A198" s="28">
        <v>45824</v>
      </c>
      <c r="B198" s="29">
        <v>3396.39990234375</v>
      </c>
      <c r="D198" s="28">
        <v>45840</v>
      </c>
      <c r="E198" s="29">
        <v>4047.71</v>
      </c>
      <c r="I198" s="53">
        <v>45840</v>
      </c>
      <c r="J198" s="55">
        <f t="shared" si="3"/>
        <v>13551733.08</v>
      </c>
      <c r="K198" s="55">
        <f>J198/$Q$2</f>
        <v>435698.33582077228</v>
      </c>
    </row>
    <row r="199" spans="1:11" x14ac:dyDescent="0.25">
      <c r="A199" s="28">
        <v>45825</v>
      </c>
      <c r="B199" s="29">
        <v>3386.60009765625</v>
      </c>
      <c r="D199" s="28">
        <v>45841</v>
      </c>
      <c r="E199" s="29">
        <v>4006.46</v>
      </c>
      <c r="I199" s="53">
        <v>45841</v>
      </c>
      <c r="J199" s="55">
        <f t="shared" si="3"/>
        <v>13347922.527255859</v>
      </c>
      <c r="K199" s="55">
        <f>J199/$Q$2</f>
        <v>429145.67439148342</v>
      </c>
    </row>
    <row r="200" spans="1:11" x14ac:dyDescent="0.25">
      <c r="A200" s="28">
        <v>45826</v>
      </c>
      <c r="B200" s="29">
        <v>3389.800048828125</v>
      </c>
      <c r="D200" s="28">
        <v>45842</v>
      </c>
      <c r="E200" s="29">
        <v>3974.37</v>
      </c>
      <c r="I200" s="53">
        <v>45842</v>
      </c>
      <c r="J200" s="55">
        <f t="shared" si="3"/>
        <v>13244588.025</v>
      </c>
      <c r="K200" s="55">
        <f>J200/$Q$2</f>
        <v>425823.39299766003</v>
      </c>
    </row>
    <row r="201" spans="1:11" x14ac:dyDescent="0.25">
      <c r="A201" s="28">
        <v>45828</v>
      </c>
      <c r="B201" s="29">
        <v>3368.10009765625</v>
      </c>
      <c r="D201" s="28">
        <v>45846</v>
      </c>
      <c r="E201" s="29">
        <v>4022.29</v>
      </c>
      <c r="I201" s="53">
        <v>45846</v>
      </c>
      <c r="J201" s="55">
        <f t="shared" si="3"/>
        <v>13301713.029999999</v>
      </c>
      <c r="K201" s="55">
        <f>J201/$Q$2</f>
        <v>427660.00455614657</v>
      </c>
    </row>
    <row r="202" spans="1:11" x14ac:dyDescent="0.25">
      <c r="A202" s="28">
        <v>45831</v>
      </c>
      <c r="B202" s="29">
        <v>3377.699951171875</v>
      </c>
      <c r="D202" s="28">
        <v>45847</v>
      </c>
      <c r="E202" s="29">
        <v>4054.13</v>
      </c>
      <c r="I202" s="53">
        <v>45847</v>
      </c>
      <c r="J202" s="55">
        <f t="shared" si="3"/>
        <v>13425657.303911133</v>
      </c>
      <c r="K202" s="55">
        <f>J202/$Q$2</f>
        <v>431644.90549529606</v>
      </c>
    </row>
    <row r="203" spans="1:11" x14ac:dyDescent="0.25">
      <c r="A203" s="28">
        <v>45832</v>
      </c>
      <c r="B203" s="29">
        <v>3317.39990234375</v>
      </c>
      <c r="D203" s="28">
        <v>45848</v>
      </c>
      <c r="E203" s="29">
        <v>4026.09</v>
      </c>
      <c r="I203" s="53">
        <v>45848</v>
      </c>
      <c r="J203" s="55">
        <f t="shared" si="3"/>
        <v>13356150.572827149</v>
      </c>
      <c r="K203" s="55">
        <f>J203/$Q$2</f>
        <v>429410.21219940111</v>
      </c>
    </row>
    <row r="204" spans="1:11" x14ac:dyDescent="0.25">
      <c r="A204" s="28">
        <v>45833</v>
      </c>
      <c r="B204" s="29">
        <v>3327.10009765625</v>
      </c>
      <c r="D204" s="28">
        <v>45849</v>
      </c>
      <c r="E204" s="29">
        <v>4013.5</v>
      </c>
      <c r="I204" s="53">
        <v>45849</v>
      </c>
      <c r="J204" s="55">
        <f t="shared" si="3"/>
        <v>13469306</v>
      </c>
      <c r="K204" s="55">
        <f>J204/$Q$2</f>
        <v>433048.24366130028</v>
      </c>
    </row>
    <row r="205" spans="1:11" x14ac:dyDescent="0.25">
      <c r="A205" s="28">
        <v>45834</v>
      </c>
      <c r="B205" s="29">
        <v>3333.5</v>
      </c>
      <c r="D205" s="28">
        <v>45850</v>
      </c>
      <c r="E205" s="29">
        <v>4003.9</v>
      </c>
      <c r="I205" s="53"/>
      <c r="J205" s="55"/>
      <c r="K205" s="55"/>
    </row>
    <row r="206" spans="1:11" x14ac:dyDescent="0.25">
      <c r="A206" s="28">
        <v>45835</v>
      </c>
      <c r="B206" s="29">
        <v>3273.699951171875</v>
      </c>
      <c r="D206" s="28">
        <v>45853</v>
      </c>
      <c r="E206" s="29">
        <v>4011.79</v>
      </c>
      <c r="I206" s="53">
        <v>45853</v>
      </c>
      <c r="J206" s="55">
        <f t="shared" si="3"/>
        <v>13358458.537888184</v>
      </c>
      <c r="K206" s="55">
        <f>J206/$Q$2</f>
        <v>429484.41499916773</v>
      </c>
    </row>
    <row r="207" spans="1:11" x14ac:dyDescent="0.25">
      <c r="A207" s="28">
        <v>45838</v>
      </c>
      <c r="B207" s="29">
        <v>3294.39990234375</v>
      </c>
      <c r="D207" s="28">
        <v>45854</v>
      </c>
      <c r="E207" s="29">
        <v>4015.04</v>
      </c>
      <c r="I207" s="53">
        <v>45854</v>
      </c>
      <c r="J207" s="55">
        <f t="shared" si="3"/>
        <v>13460421.6</v>
      </c>
      <c r="K207" s="55">
        <f>J207/$Q$2</f>
        <v>432762.60356848594</v>
      </c>
    </row>
    <row r="208" spans="1:11" x14ac:dyDescent="0.25">
      <c r="A208" s="28">
        <v>45839</v>
      </c>
      <c r="B208" s="29">
        <v>3336.699951171875</v>
      </c>
      <c r="D208" s="28">
        <v>45855</v>
      </c>
      <c r="E208" s="29">
        <v>4031.86</v>
      </c>
      <c r="I208" s="53">
        <v>45855</v>
      </c>
      <c r="J208" s="55">
        <f t="shared" si="3"/>
        <v>13466815.979736328</v>
      </c>
      <c r="K208" s="55">
        <f>J208/$Q$2</f>
        <v>432968.1876508522</v>
      </c>
    </row>
    <row r="209" spans="1:11" x14ac:dyDescent="0.25">
      <c r="A209" s="28">
        <v>45840</v>
      </c>
      <c r="B209" s="29">
        <v>3348</v>
      </c>
      <c r="D209" s="28">
        <v>45856</v>
      </c>
      <c r="E209" s="29">
        <v>4016.44</v>
      </c>
      <c r="I209" s="53">
        <v>45856</v>
      </c>
      <c r="J209" s="55">
        <f t="shared" si="3"/>
        <v>13467123.32</v>
      </c>
      <c r="K209" s="55">
        <f>J209/$Q$2</f>
        <v>432978.06886977988</v>
      </c>
    </row>
    <row r="210" spans="1:11" x14ac:dyDescent="0.25">
      <c r="A210" s="28">
        <v>45841</v>
      </c>
      <c r="B210" s="29">
        <v>3331.60009765625</v>
      </c>
      <c r="D210" s="28">
        <v>45857</v>
      </c>
      <c r="E210" s="29">
        <v>4000.61</v>
      </c>
      <c r="I210" s="53"/>
      <c r="J210" s="55"/>
      <c r="K210" s="55"/>
    </row>
    <row r="211" spans="1:11" x14ac:dyDescent="0.25">
      <c r="A211" s="28">
        <v>45842</v>
      </c>
      <c r="B211" s="29">
        <v>3332.5</v>
      </c>
      <c r="D211" s="28">
        <v>45860</v>
      </c>
      <c r="E211" s="29">
        <v>4026.27</v>
      </c>
      <c r="I211" s="53">
        <v>45860</v>
      </c>
      <c r="J211" s="55">
        <f t="shared" si="3"/>
        <v>13847147.587404786</v>
      </c>
      <c r="K211" s="55">
        <f>J211/$Q$2</f>
        <v>445196.13278103963</v>
      </c>
    </row>
    <row r="212" spans="1:11" x14ac:dyDescent="0.25">
      <c r="A212" s="28">
        <v>45845</v>
      </c>
      <c r="B212" s="29">
        <v>3332.199951171875</v>
      </c>
      <c r="D212" s="28">
        <v>45861</v>
      </c>
      <c r="E212" s="29">
        <v>4061.36</v>
      </c>
      <c r="I212" s="53">
        <v>45861</v>
      </c>
      <c r="J212" s="55">
        <f t="shared" si="3"/>
        <v>13784662.372617189</v>
      </c>
      <c r="K212" s="55">
        <f>J212/$Q$2</f>
        <v>443187.18647611735</v>
      </c>
    </row>
    <row r="213" spans="1:11" x14ac:dyDescent="0.25">
      <c r="A213" s="28">
        <v>45846</v>
      </c>
      <c r="B213" s="29">
        <v>3307</v>
      </c>
      <c r="D213" s="28">
        <v>45862</v>
      </c>
      <c r="E213" s="29">
        <v>4052.86</v>
      </c>
      <c r="I213" s="53">
        <v>45862</v>
      </c>
      <c r="J213" s="55">
        <f t="shared" si="3"/>
        <v>13662191.060000001</v>
      </c>
      <c r="K213" s="55">
        <f>J213/$Q$2</f>
        <v>439249.6423422349</v>
      </c>
    </row>
    <row r="214" spans="1:11" x14ac:dyDescent="0.25">
      <c r="A214" s="28">
        <v>45847</v>
      </c>
      <c r="B214" s="29">
        <v>3311.60009765625</v>
      </c>
      <c r="D214" s="28">
        <v>45863</v>
      </c>
      <c r="E214" s="29">
        <v>4063.31</v>
      </c>
      <c r="I214" s="53">
        <v>45863</v>
      </c>
      <c r="J214" s="55">
        <f t="shared" si="3"/>
        <v>13547075.539999999</v>
      </c>
      <c r="K214" s="55">
        <f>J214/$Q$2</f>
        <v>435548.59243259905</v>
      </c>
    </row>
    <row r="215" spans="1:11" x14ac:dyDescent="0.25">
      <c r="A215" s="28">
        <v>45848</v>
      </c>
      <c r="B215" s="29">
        <v>3317.39990234375</v>
      </c>
      <c r="D215" s="28">
        <v>45864</v>
      </c>
      <c r="E215" s="29">
        <v>4110.4799999999996</v>
      </c>
      <c r="I215" s="53"/>
      <c r="J215" s="55"/>
      <c r="K215" s="55"/>
    </row>
    <row r="216" spans="1:11" x14ac:dyDescent="0.25">
      <c r="A216" s="28">
        <v>45849</v>
      </c>
      <c r="B216" s="29">
        <v>3356</v>
      </c>
      <c r="D216" s="28">
        <v>45867</v>
      </c>
      <c r="E216" s="29">
        <v>4170.59</v>
      </c>
      <c r="I216" s="53">
        <v>45867</v>
      </c>
      <c r="J216" s="55">
        <f t="shared" si="3"/>
        <v>13860538.39871582</v>
      </c>
      <c r="K216" s="55">
        <f>J216/$Q$2</f>
        <v>445626.65736184904</v>
      </c>
    </row>
    <row r="217" spans="1:11" x14ac:dyDescent="0.25">
      <c r="A217" s="28">
        <v>45852</v>
      </c>
      <c r="B217" s="29">
        <v>3351.5</v>
      </c>
      <c r="D217" s="28">
        <v>45868</v>
      </c>
      <c r="E217" s="29">
        <v>4154.79</v>
      </c>
      <c r="I217" s="53">
        <v>45868</v>
      </c>
      <c r="J217" s="55">
        <f t="shared" si="3"/>
        <v>13693357.084870605</v>
      </c>
      <c r="K217" s="55">
        <f>J217/$Q$2</f>
        <v>440251.65330940124</v>
      </c>
    </row>
    <row r="218" spans="1:11" x14ac:dyDescent="0.25">
      <c r="A218" s="28">
        <v>45853</v>
      </c>
      <c r="B218" s="29">
        <v>3329.800048828125</v>
      </c>
      <c r="D218" s="28">
        <v>45869</v>
      </c>
      <c r="E218" s="29">
        <v>4179.6899999999996</v>
      </c>
      <c r="I218" s="53">
        <v>45869</v>
      </c>
      <c r="J218" s="55">
        <f t="shared" si="3"/>
        <v>13764554.903913572</v>
      </c>
      <c r="K218" s="55">
        <f>J218/$Q$2</f>
        <v>442540.71634569071</v>
      </c>
    </row>
    <row r="219" spans="1:11" x14ac:dyDescent="0.25">
      <c r="A219" s="28">
        <v>45854</v>
      </c>
      <c r="B219" s="29">
        <v>3352.5</v>
      </c>
      <c r="D219" s="28">
        <v>45870</v>
      </c>
      <c r="E219" s="29">
        <v>4186.71</v>
      </c>
      <c r="I219" s="53">
        <v>45870</v>
      </c>
      <c r="J219" s="55">
        <f t="shared" si="3"/>
        <v>14015848.862570802</v>
      </c>
      <c r="K219" s="55">
        <f>J219/$Q$2</f>
        <v>450620.00472470658</v>
      </c>
    </row>
    <row r="220" spans="1:11" x14ac:dyDescent="0.25">
      <c r="A220" s="30">
        <v>45855</v>
      </c>
      <c r="B220" s="31">
        <v>3340.10009765625</v>
      </c>
      <c r="D220" s="30">
        <v>45871</v>
      </c>
      <c r="E220" s="31">
        <v>4129.42</v>
      </c>
      <c r="I220" s="53"/>
      <c r="J220" s="55"/>
      <c r="K220" s="55"/>
    </row>
    <row r="221" spans="1:11" x14ac:dyDescent="0.25">
      <c r="A221" s="28">
        <v>45856</v>
      </c>
      <c r="B221" s="29">
        <v>3353</v>
      </c>
      <c r="D221" s="28">
        <v>45874</v>
      </c>
      <c r="E221" s="29">
        <v>4097.38</v>
      </c>
      <c r="I221" s="53">
        <v>45874</v>
      </c>
      <c r="J221" s="55">
        <f t="shared" si="3"/>
        <v>13856929.021865236</v>
      </c>
      <c r="K221" s="55">
        <f>J221/$Q$2</f>
        <v>445510.61320145521</v>
      </c>
    </row>
    <row r="222" spans="1:11" x14ac:dyDescent="0.25">
      <c r="A222" s="28">
        <v>45859</v>
      </c>
      <c r="B222" s="29">
        <v>3401.89990234375</v>
      </c>
      <c r="D222" s="28">
        <v>45875</v>
      </c>
      <c r="E222" s="29">
        <v>4093.12</v>
      </c>
      <c r="I222" s="53">
        <v>45875</v>
      </c>
      <c r="J222" s="55">
        <f t="shared" si="3"/>
        <v>13834745.6</v>
      </c>
      <c r="K222" s="55">
        <f>J222/$Q$2</f>
        <v>444797.39962704107</v>
      </c>
    </row>
    <row r="223" spans="1:11" x14ac:dyDescent="0.25">
      <c r="A223" s="28">
        <v>45860</v>
      </c>
      <c r="B223" s="29">
        <v>3439.199951171875</v>
      </c>
      <c r="D223" s="28">
        <v>45876</v>
      </c>
      <c r="E223" s="29">
        <v>4049.35</v>
      </c>
      <c r="I223" s="53">
        <v>45876</v>
      </c>
      <c r="J223" s="55">
        <f t="shared" si="3"/>
        <v>13769005.002722168</v>
      </c>
      <c r="K223" s="55">
        <f>J223/$Q$2</f>
        <v>442683.79034469125</v>
      </c>
    </row>
    <row r="224" spans="1:11" x14ac:dyDescent="0.25">
      <c r="A224" s="28">
        <v>45861</v>
      </c>
      <c r="B224" s="29">
        <v>3394.10009765625</v>
      </c>
      <c r="D224" s="28">
        <v>45878</v>
      </c>
      <c r="E224" s="29">
        <v>4034.74</v>
      </c>
      <c r="I224" s="53"/>
      <c r="J224" s="55"/>
      <c r="K224" s="55"/>
    </row>
    <row r="225" spans="1:11" x14ac:dyDescent="0.25">
      <c r="A225" s="28">
        <v>45862</v>
      </c>
      <c r="B225" s="29">
        <v>3371</v>
      </c>
      <c r="D225" s="28">
        <v>45881</v>
      </c>
      <c r="E225" s="29">
        <v>4045.87</v>
      </c>
      <c r="I225" s="53">
        <v>45881</v>
      </c>
      <c r="J225" s="55">
        <f t="shared" si="3"/>
        <v>13549213.647895508</v>
      </c>
      <c r="K225" s="55">
        <f>J225/$Q$2</f>
        <v>435617.3341976839</v>
      </c>
    </row>
    <row r="226" spans="1:11" x14ac:dyDescent="0.25">
      <c r="A226" s="28">
        <v>45863</v>
      </c>
      <c r="B226" s="29">
        <v>3334</v>
      </c>
      <c r="D226" s="28">
        <v>45882</v>
      </c>
      <c r="E226" s="29">
        <v>4017.12</v>
      </c>
      <c r="I226" s="53">
        <v>45882</v>
      </c>
      <c r="J226" s="55">
        <f t="shared" si="3"/>
        <v>13492300.747851562</v>
      </c>
      <c r="K226" s="55">
        <f>J226/$Q$2</f>
        <v>433787.54197188537</v>
      </c>
    </row>
    <row r="227" spans="1:11" x14ac:dyDescent="0.25">
      <c r="A227" s="28">
        <v>45866</v>
      </c>
      <c r="B227" s="29">
        <v>3309.10009765625</v>
      </c>
      <c r="D227" s="28">
        <v>45883</v>
      </c>
      <c r="E227" s="29">
        <v>4020.64</v>
      </c>
      <c r="I227" s="53">
        <v>45883</v>
      </c>
      <c r="J227" s="55">
        <f t="shared" si="3"/>
        <v>13409638.331679687</v>
      </c>
      <c r="K227" s="55">
        <f>J227/$Q$2</f>
        <v>431129.88357879291</v>
      </c>
    </row>
    <row r="228" spans="1:11" x14ac:dyDescent="0.25">
      <c r="A228" s="28">
        <v>45867</v>
      </c>
      <c r="B228" s="29">
        <v>3323.39990234375</v>
      </c>
      <c r="D228" s="28">
        <v>45884</v>
      </c>
      <c r="E228" s="29">
        <v>4048.74</v>
      </c>
      <c r="I228" s="53">
        <v>45884</v>
      </c>
      <c r="J228" s="55">
        <f t="shared" si="3"/>
        <v>13506596.639999999</v>
      </c>
      <c r="K228" s="55">
        <f>J228/$Q$2</f>
        <v>434247.16557732219</v>
      </c>
    </row>
    <row r="229" spans="1:11" x14ac:dyDescent="0.25">
      <c r="A229" s="28">
        <v>45868</v>
      </c>
      <c r="B229" s="29">
        <v>3295.800048828125</v>
      </c>
      <c r="D229" s="28">
        <v>45885</v>
      </c>
      <c r="E229" s="29">
        <v>4019.24</v>
      </c>
      <c r="I229" s="53"/>
      <c r="J229" s="55"/>
      <c r="K229" s="55"/>
    </row>
    <row r="230" spans="1:11" x14ac:dyDescent="0.25">
      <c r="A230" s="28">
        <v>45869</v>
      </c>
      <c r="B230" s="29">
        <v>3293.199951171875</v>
      </c>
      <c r="D230" s="28">
        <v>45889</v>
      </c>
      <c r="E230" s="29">
        <v>4036.42</v>
      </c>
      <c r="I230" s="53">
        <v>45889</v>
      </c>
      <c r="J230" s="55">
        <f t="shared" si="3"/>
        <v>13495366.23381836</v>
      </c>
      <c r="K230" s="55">
        <f>J230/$Q$2</f>
        <v>433886.09963431355</v>
      </c>
    </row>
    <row r="231" spans="1:11" x14ac:dyDescent="0.25">
      <c r="A231" s="28">
        <v>45870</v>
      </c>
      <c r="B231" s="29">
        <v>3347.699951171875</v>
      </c>
      <c r="D231" s="28">
        <v>45890</v>
      </c>
      <c r="E231" s="29">
        <v>4025.51</v>
      </c>
      <c r="I231" s="53">
        <v>45890</v>
      </c>
      <c r="J231" s="55">
        <f t="shared" si="3"/>
        <v>13432723.92588379</v>
      </c>
      <c r="K231" s="55">
        <f>J231/$Q$2</f>
        <v>431872.10266743525</v>
      </c>
    </row>
    <row r="232" spans="1:11" x14ac:dyDescent="0.25">
      <c r="A232" s="28">
        <v>45873</v>
      </c>
      <c r="B232" s="29">
        <v>3374.39990234375</v>
      </c>
      <c r="D232" s="28">
        <v>45891</v>
      </c>
      <c r="E232" s="29">
        <v>4034.18</v>
      </c>
      <c r="I232" s="53">
        <v>45891</v>
      </c>
      <c r="J232" s="55">
        <f t="shared" si="3"/>
        <v>13612936.598037109</v>
      </c>
      <c r="K232" s="55">
        <f>J232/$Q$2</f>
        <v>437666.07461829187</v>
      </c>
    </row>
    <row r="233" spans="1:11" x14ac:dyDescent="0.25">
      <c r="A233" s="28">
        <v>45874</v>
      </c>
      <c r="B233" s="29">
        <v>3381.89990234375</v>
      </c>
      <c r="D233" s="28">
        <v>45892</v>
      </c>
      <c r="E233" s="29">
        <v>4008.7</v>
      </c>
      <c r="I233" s="53"/>
      <c r="J233" s="55"/>
      <c r="K233" s="55"/>
    </row>
    <row r="234" spans="1:11" x14ac:dyDescent="0.25">
      <c r="A234" s="28">
        <v>45875</v>
      </c>
      <c r="B234" s="29">
        <v>3380</v>
      </c>
      <c r="D234" s="28">
        <v>45895</v>
      </c>
      <c r="E234" s="29">
        <v>4017.44</v>
      </c>
      <c r="I234" s="53">
        <v>45895</v>
      </c>
      <c r="J234" s="55">
        <f t="shared" si="3"/>
        <v>13613497.576328125</v>
      </c>
      <c r="K234" s="55">
        <f>J234/$Q$2</f>
        <v>437684.1104891568</v>
      </c>
    </row>
    <row r="235" spans="1:11" x14ac:dyDescent="0.25">
      <c r="A235" s="28">
        <v>45876</v>
      </c>
      <c r="B235" s="29">
        <v>3400.300048828125</v>
      </c>
      <c r="D235" s="28">
        <v>45896</v>
      </c>
      <c r="E235" s="29">
        <v>4044.51</v>
      </c>
      <c r="I235" s="53">
        <v>45896</v>
      </c>
      <c r="J235" s="55">
        <f t="shared" si="3"/>
        <v>13769939.140971681</v>
      </c>
      <c r="K235" s="55">
        <f>J235/$Q$2</f>
        <v>442713.82358681143</v>
      </c>
    </row>
    <row r="236" spans="1:11" x14ac:dyDescent="0.25">
      <c r="A236" s="28">
        <v>45877</v>
      </c>
      <c r="B236" s="29">
        <v>3439.10009765625</v>
      </c>
      <c r="D236" s="28">
        <v>45897</v>
      </c>
      <c r="E236" s="29">
        <v>4051.97</v>
      </c>
      <c r="I236" s="53">
        <v>45897</v>
      </c>
      <c r="J236" s="55">
        <f t="shared" si="3"/>
        <v>13905550.843850097</v>
      </c>
      <c r="K236" s="55">
        <f>J236/$Q$2</f>
        <v>447073.84107779543</v>
      </c>
    </row>
    <row r="237" spans="1:11" x14ac:dyDescent="0.25">
      <c r="A237" s="28">
        <v>45880</v>
      </c>
      <c r="B237" s="29">
        <v>3353.10009765625</v>
      </c>
      <c r="D237" s="28">
        <v>45898</v>
      </c>
      <c r="E237" s="29">
        <v>4019.09</v>
      </c>
      <c r="I237" s="53">
        <v>45898</v>
      </c>
      <c r="J237" s="55">
        <f t="shared" si="3"/>
        <v>13961112.736755371</v>
      </c>
      <c r="K237" s="55">
        <f>J237/$Q$2</f>
        <v>448860.19741546613</v>
      </c>
    </row>
    <row r="238" spans="1:11" x14ac:dyDescent="0.25">
      <c r="A238" s="28">
        <v>45881</v>
      </c>
      <c r="B238" s="29">
        <v>3348.89990234375</v>
      </c>
      <c r="D238" s="28">
        <v>45899</v>
      </c>
      <c r="E238" s="29">
        <v>4018.41</v>
      </c>
      <c r="I238" s="53"/>
      <c r="J238" s="55"/>
      <c r="K238" s="55"/>
    </row>
    <row r="239" spans="1:11" x14ac:dyDescent="0.25">
      <c r="A239" s="28">
        <v>45882</v>
      </c>
      <c r="B239" s="29">
        <v>3358.699951171875</v>
      </c>
      <c r="D239" s="28">
        <v>45903</v>
      </c>
      <c r="E239" s="29">
        <v>4016.94</v>
      </c>
      <c r="I239" s="53">
        <v>45903</v>
      </c>
      <c r="J239" s="55">
        <f t="shared" si="3"/>
        <v>14433668.611860352</v>
      </c>
      <c r="K239" s="55">
        <f>J239/$Q$2</f>
        <v>464053.22159548261</v>
      </c>
    </row>
    <row r="240" spans="1:11" x14ac:dyDescent="0.25">
      <c r="A240" s="28">
        <v>45883</v>
      </c>
      <c r="B240" s="29">
        <v>3335.199951171875</v>
      </c>
      <c r="D240" s="28">
        <v>45904</v>
      </c>
      <c r="E240" s="29">
        <v>4002.86</v>
      </c>
      <c r="I240" s="53">
        <v>45904</v>
      </c>
      <c r="J240" s="55">
        <f t="shared" si="3"/>
        <v>14273398.383452149</v>
      </c>
      <c r="K240" s="55">
        <f>J240/$Q$2</f>
        <v>458900.41409943433</v>
      </c>
    </row>
    <row r="241" spans="1:11" x14ac:dyDescent="0.25">
      <c r="A241" s="28">
        <v>45884</v>
      </c>
      <c r="B241" s="29">
        <v>3336</v>
      </c>
      <c r="D241" s="28">
        <v>45905</v>
      </c>
      <c r="E241" s="29">
        <v>3991.09</v>
      </c>
      <c r="I241" s="53">
        <v>45905</v>
      </c>
      <c r="J241" s="55">
        <f t="shared" si="3"/>
        <v>14420606.193122558</v>
      </c>
      <c r="K241" s="55">
        <f>J241/$Q$2</f>
        <v>463633.25508107053</v>
      </c>
    </row>
    <row r="242" spans="1:11" x14ac:dyDescent="0.25">
      <c r="A242" s="28">
        <v>45887</v>
      </c>
      <c r="B242" s="29">
        <v>3331.699951171875</v>
      </c>
      <c r="D242" s="28">
        <v>45906</v>
      </c>
      <c r="E242" s="29">
        <v>3960.94</v>
      </c>
      <c r="I242" s="53"/>
      <c r="J242" s="55"/>
      <c r="K242" s="55"/>
    </row>
    <row r="243" spans="1:11" x14ac:dyDescent="0.25">
      <c r="A243" s="28">
        <v>45888</v>
      </c>
      <c r="B243" s="29">
        <v>3313.39990234375</v>
      </c>
      <c r="D243" s="28">
        <v>45909</v>
      </c>
      <c r="E243" s="29">
        <v>3945.29</v>
      </c>
      <c r="I243" s="53">
        <v>45909</v>
      </c>
      <c r="J243" s="55">
        <f t="shared" si="3"/>
        <v>14373875.249641113</v>
      </c>
      <c r="K243" s="55">
        <f>J243/$Q$2</f>
        <v>462130.8203602857</v>
      </c>
    </row>
    <row r="244" spans="1:11" x14ac:dyDescent="0.25">
      <c r="A244" s="28">
        <v>45889</v>
      </c>
      <c r="B244" s="29">
        <v>3343.39990234375</v>
      </c>
      <c r="D244" s="28">
        <v>45910</v>
      </c>
      <c r="E244" s="29">
        <v>3919.13</v>
      </c>
      <c r="I244" s="53">
        <v>45910</v>
      </c>
      <c r="J244" s="55">
        <f t="shared" si="3"/>
        <v>14279742.450727539</v>
      </c>
      <c r="K244" s="55">
        <f>J244/$Q$2</f>
        <v>459104.38059861975</v>
      </c>
    </row>
    <row r="245" spans="1:11" x14ac:dyDescent="0.25">
      <c r="A245" s="28">
        <v>45890</v>
      </c>
      <c r="B245" s="29">
        <v>3336.89990234375</v>
      </c>
      <c r="D245" s="28">
        <v>45911</v>
      </c>
      <c r="E245" s="29">
        <v>3921.58</v>
      </c>
      <c r="I245" s="53">
        <v>45911</v>
      </c>
      <c r="J245" s="55">
        <f t="shared" si="3"/>
        <v>14262393.919033203</v>
      </c>
      <c r="K245" s="55">
        <f>J245/$Q$2</f>
        <v>458546.61235277733</v>
      </c>
    </row>
    <row r="246" spans="1:11" x14ac:dyDescent="0.25">
      <c r="A246" s="28">
        <v>45891</v>
      </c>
      <c r="B246" s="29">
        <v>3374.39990234375</v>
      </c>
      <c r="D246" s="28">
        <v>45912</v>
      </c>
      <c r="E246" s="29">
        <v>3903.18</v>
      </c>
      <c r="I246" s="53">
        <v>45912</v>
      </c>
      <c r="J246" s="55">
        <f t="shared" si="3"/>
        <v>14244264.710830078</v>
      </c>
      <c r="K246" s="55">
        <f>J246/$Q$2</f>
        <v>457963.74477434874</v>
      </c>
    </row>
    <row r="247" spans="1:11" x14ac:dyDescent="0.25">
      <c r="A247" s="28">
        <v>45894</v>
      </c>
      <c r="B247" s="29">
        <v>3373.800048828125</v>
      </c>
      <c r="D247" s="28">
        <v>45913</v>
      </c>
      <c r="E247" s="29">
        <v>3906.24</v>
      </c>
      <c r="I247" s="53"/>
      <c r="J247" s="55"/>
      <c r="K247" s="55"/>
    </row>
    <row r="248" spans="1:11" x14ac:dyDescent="0.25">
      <c r="A248" s="28">
        <v>45895</v>
      </c>
      <c r="B248" s="29">
        <v>3388.60009765625</v>
      </c>
      <c r="D248" s="28">
        <v>45916</v>
      </c>
      <c r="E248" s="29">
        <v>3897.57</v>
      </c>
      <c r="I248" s="53">
        <v>45916</v>
      </c>
      <c r="J248" s="55">
        <f t="shared" si="3"/>
        <v>14377745.592377931</v>
      </c>
      <c r="K248" s="55">
        <f>J248/$Q$2</f>
        <v>462255.25476875086</v>
      </c>
    </row>
    <row r="249" spans="1:11" x14ac:dyDescent="0.25">
      <c r="A249" s="28">
        <v>45896</v>
      </c>
      <c r="B249" s="29">
        <v>3404.60009765625</v>
      </c>
      <c r="D249" s="28">
        <v>45917</v>
      </c>
      <c r="E249" s="29">
        <v>3881.92</v>
      </c>
      <c r="I249" s="53">
        <v>45917</v>
      </c>
      <c r="J249" s="55">
        <f t="shared" si="3"/>
        <v>14292453.245546876</v>
      </c>
      <c r="K249" s="55">
        <f>J249/$Q$2</f>
        <v>459513.04214154207</v>
      </c>
    </row>
    <row r="250" spans="1:11" x14ac:dyDescent="0.25">
      <c r="A250" s="28">
        <v>45897</v>
      </c>
      <c r="B250" s="29">
        <v>3431.800048828125</v>
      </c>
      <c r="D250" s="28">
        <v>45918</v>
      </c>
      <c r="E250" s="29">
        <v>3880.01</v>
      </c>
      <c r="I250" s="53">
        <v>45918</v>
      </c>
      <c r="J250" s="55">
        <f t="shared" si="3"/>
        <v>14137592.247546388</v>
      </c>
      <c r="K250" s="55">
        <f>J250/$Q$2</f>
        <v>454534.14544146357</v>
      </c>
    </row>
    <row r="251" spans="1:11" x14ac:dyDescent="0.25">
      <c r="A251" s="28">
        <v>45898</v>
      </c>
      <c r="B251" s="29">
        <v>3473.699951171875</v>
      </c>
      <c r="D251" s="28">
        <v>45919</v>
      </c>
      <c r="E251" s="29">
        <v>3892.45</v>
      </c>
      <c r="I251" s="53">
        <v>45919</v>
      </c>
      <c r="J251" s="55">
        <f t="shared" si="3"/>
        <v>14291130.174999999</v>
      </c>
      <c r="K251" s="55">
        <f>J251/$Q$2</f>
        <v>459470.50443569699</v>
      </c>
    </row>
    <row r="252" spans="1:11" x14ac:dyDescent="0.25">
      <c r="A252" s="28">
        <v>45902</v>
      </c>
      <c r="B252" s="29">
        <v>3549.39990234375</v>
      </c>
      <c r="D252" s="28">
        <v>45920</v>
      </c>
      <c r="E252" s="29">
        <v>3891.19</v>
      </c>
      <c r="I252" s="53"/>
      <c r="J252" s="55"/>
      <c r="K252" s="55"/>
    </row>
    <row r="253" spans="1:11" x14ac:dyDescent="0.25">
      <c r="A253" s="28">
        <v>45903</v>
      </c>
      <c r="B253" s="29">
        <v>3593.199951171875</v>
      </c>
      <c r="D253" s="28">
        <v>45923</v>
      </c>
      <c r="E253" s="29">
        <v>3852.16</v>
      </c>
      <c r="I253" s="53">
        <v>45923</v>
      </c>
      <c r="J253" s="55">
        <f t="shared" si="3"/>
        <v>14563476.472187499</v>
      </c>
      <c r="K253" s="55">
        <f>J253/$Q$2</f>
        <v>468226.64121547656</v>
      </c>
    </row>
    <row r="254" spans="1:11" x14ac:dyDescent="0.25">
      <c r="A254" s="28">
        <v>45904</v>
      </c>
      <c r="B254" s="29">
        <v>3565.800048828125</v>
      </c>
      <c r="D254" s="28">
        <v>45924</v>
      </c>
      <c r="E254" s="29">
        <v>3844.47</v>
      </c>
      <c r="I254" s="53">
        <v>45924</v>
      </c>
      <c r="J254" s="55">
        <f t="shared" si="3"/>
        <v>14347946.862436522</v>
      </c>
      <c r="K254" s="55">
        <f>J254/$Q$2</f>
        <v>461297.2033543376</v>
      </c>
    </row>
    <row r="255" spans="1:11" x14ac:dyDescent="0.25">
      <c r="A255" s="28">
        <v>45905</v>
      </c>
      <c r="B255" s="29">
        <v>3613.199951171875</v>
      </c>
      <c r="D255" s="28">
        <v>45925</v>
      </c>
      <c r="E255" s="29">
        <v>3881.26</v>
      </c>
      <c r="I255" s="53">
        <v>45925</v>
      </c>
      <c r="J255" s="55">
        <f t="shared" si="3"/>
        <v>14503880.114970705</v>
      </c>
      <c r="K255" s="55">
        <f>J255/$Q$2</f>
        <v>466310.57383818598</v>
      </c>
    </row>
    <row r="256" spans="1:11" x14ac:dyDescent="0.25">
      <c r="A256" s="28">
        <v>45908</v>
      </c>
      <c r="B256" s="29">
        <v>3638.10009765625</v>
      </c>
      <c r="D256" s="28">
        <v>45926</v>
      </c>
      <c r="E256" s="29">
        <v>3898.87</v>
      </c>
      <c r="I256" s="53">
        <v>45926</v>
      </c>
      <c r="J256" s="55">
        <f t="shared" si="3"/>
        <v>14719404.101374511</v>
      </c>
      <c r="K256" s="55">
        <f>J256/$Q$2</f>
        <v>473239.83090451517</v>
      </c>
    </row>
    <row r="257" spans="1:11" x14ac:dyDescent="0.25">
      <c r="A257" s="28">
        <v>45909</v>
      </c>
      <c r="B257" s="29">
        <v>3643.300048828125</v>
      </c>
      <c r="D257" s="28">
        <v>45927</v>
      </c>
      <c r="E257" s="29">
        <v>3908.12</v>
      </c>
      <c r="I257" s="53"/>
      <c r="J257" s="55"/>
      <c r="K257" s="55"/>
    </row>
    <row r="258" spans="1:11" x14ac:dyDescent="0.25">
      <c r="A258" s="28">
        <v>45910</v>
      </c>
      <c r="B258" s="29">
        <v>3643.60009765625</v>
      </c>
      <c r="D258" s="28">
        <v>45930</v>
      </c>
      <c r="E258" s="29">
        <v>3901.29</v>
      </c>
      <c r="I258" s="53">
        <v>45930</v>
      </c>
      <c r="J258" s="55">
        <f t="shared" si="3"/>
        <v>14984074.822492676</v>
      </c>
      <c r="K258" s="55">
        <f>J258/$Q$2</f>
        <v>481749.19218332134</v>
      </c>
    </row>
    <row r="259" spans="1:11" x14ac:dyDescent="0.25">
      <c r="A259" s="28">
        <v>45911</v>
      </c>
      <c r="B259" s="29">
        <v>3636.89990234375</v>
      </c>
      <c r="D259" s="28">
        <v>45931</v>
      </c>
      <c r="E259" s="29">
        <v>3923.55</v>
      </c>
      <c r="I259" s="53">
        <v>45931</v>
      </c>
      <c r="J259" s="55">
        <f t="shared" ref="J259:J322" si="4">E259*_xlfn.XLOOKUP(I259,$A$2:$A$504,$B$2:$B$504)</f>
        <v>15174329.625</v>
      </c>
      <c r="K259" s="55">
        <f>J259/$Q$2</f>
        <v>487866.02612219867</v>
      </c>
    </row>
    <row r="260" spans="1:11" x14ac:dyDescent="0.25">
      <c r="A260" s="28">
        <v>45912</v>
      </c>
      <c r="B260" s="29">
        <v>3649.39990234375</v>
      </c>
      <c r="D260" s="28">
        <v>45932</v>
      </c>
      <c r="E260" s="29">
        <v>3890</v>
      </c>
      <c r="I260" s="53">
        <v>45932</v>
      </c>
      <c r="J260" s="55">
        <f t="shared" si="4"/>
        <v>14936432.810058594</v>
      </c>
      <c r="K260" s="55">
        <f>J260/$Q$2</f>
        <v>480217.46591553371</v>
      </c>
    </row>
    <row r="261" spans="1:11" x14ac:dyDescent="0.25">
      <c r="A261" s="28">
        <v>45915</v>
      </c>
      <c r="B261" s="29">
        <v>3682.199951171875</v>
      </c>
      <c r="D261" s="28">
        <v>45933</v>
      </c>
      <c r="E261" s="29">
        <v>3897.64</v>
      </c>
      <c r="I261" s="53">
        <v>45933</v>
      </c>
      <c r="J261" s="55">
        <f t="shared" si="4"/>
        <v>15125961.502314452</v>
      </c>
      <c r="K261" s="55">
        <f>J261/$Q$2</f>
        <v>486310.95486773533</v>
      </c>
    </row>
    <row r="262" spans="1:11" x14ac:dyDescent="0.25">
      <c r="A262" s="28">
        <v>45916</v>
      </c>
      <c r="B262" s="29">
        <v>3688.89990234375</v>
      </c>
      <c r="D262" s="28">
        <v>45934</v>
      </c>
      <c r="E262" s="29">
        <v>3874.18</v>
      </c>
      <c r="I262" s="53"/>
      <c r="J262" s="55"/>
      <c r="K262" s="55"/>
    </row>
    <row r="263" spans="1:11" x14ac:dyDescent="0.25">
      <c r="A263" s="28">
        <v>45917</v>
      </c>
      <c r="B263" s="29">
        <v>3681.800048828125</v>
      </c>
      <c r="D263" s="28">
        <v>45937</v>
      </c>
      <c r="E263" s="29">
        <v>3853.19</v>
      </c>
      <c r="I263" s="53">
        <v>45937</v>
      </c>
      <c r="J263" s="55">
        <f t="shared" si="4"/>
        <v>15322595.730288086</v>
      </c>
      <c r="K263" s="55">
        <f>J263/$Q$2</f>
        <v>492632.89209803345</v>
      </c>
    </row>
    <row r="264" spans="1:11" x14ac:dyDescent="0.25">
      <c r="A264" s="28">
        <v>45918</v>
      </c>
      <c r="B264" s="29">
        <v>3643.699951171875</v>
      </c>
      <c r="D264" s="28">
        <v>45938</v>
      </c>
      <c r="E264" s="29">
        <v>3867.54</v>
      </c>
      <c r="I264" s="53">
        <v>45938</v>
      </c>
      <c r="J264" s="55">
        <f t="shared" si="4"/>
        <v>15637624.670844726</v>
      </c>
      <c r="K264" s="55">
        <f>J264/$Q$2</f>
        <v>502761.30772765336</v>
      </c>
    </row>
    <row r="265" spans="1:11" x14ac:dyDescent="0.25">
      <c r="A265" s="28">
        <v>45919</v>
      </c>
      <c r="B265" s="29">
        <v>3671.5</v>
      </c>
      <c r="D265" s="28">
        <v>45939</v>
      </c>
      <c r="E265" s="29">
        <v>3879.8</v>
      </c>
      <c r="I265" s="53">
        <v>45939</v>
      </c>
      <c r="J265" s="55">
        <f t="shared" si="4"/>
        <v>15310854.929443359</v>
      </c>
      <c r="K265" s="55">
        <f>J265/$Q$2</f>
        <v>492255.41658556188</v>
      </c>
    </row>
    <row r="266" spans="1:11" x14ac:dyDescent="0.25">
      <c r="A266" s="28">
        <v>45922</v>
      </c>
      <c r="B266" s="29">
        <v>3740.699951171875</v>
      </c>
      <c r="D266" s="28">
        <v>45940</v>
      </c>
      <c r="E266" s="29">
        <v>3894.99</v>
      </c>
      <c r="I266" s="53">
        <v>45940</v>
      </c>
      <c r="J266" s="55">
        <f t="shared" si="4"/>
        <v>15486090.360629883</v>
      </c>
      <c r="K266" s="55">
        <f>J266/$Q$2</f>
        <v>497889.36652348406</v>
      </c>
    </row>
    <row r="267" spans="1:11" x14ac:dyDescent="0.25">
      <c r="A267" s="28">
        <v>45923</v>
      </c>
      <c r="B267" s="29">
        <v>3780.60009765625</v>
      </c>
      <c r="D267" s="28">
        <v>45941</v>
      </c>
      <c r="E267" s="29">
        <v>3913.24</v>
      </c>
      <c r="I267" s="53"/>
      <c r="J267" s="55"/>
      <c r="K267" s="55"/>
    </row>
    <row r="268" spans="1:11" x14ac:dyDescent="0.25">
      <c r="A268" s="28">
        <v>45924</v>
      </c>
      <c r="B268" s="29">
        <v>3732.10009765625</v>
      </c>
      <c r="D268" s="28">
        <v>45945</v>
      </c>
      <c r="E268" s="29">
        <v>3933.31</v>
      </c>
      <c r="I268" s="53">
        <v>45945</v>
      </c>
      <c r="J268" s="55">
        <f t="shared" si="4"/>
        <v>16429042.154887695</v>
      </c>
      <c r="K268" s="55">
        <f>J268/$Q$2</f>
        <v>528205.97068709997</v>
      </c>
    </row>
    <row r="269" spans="1:11" x14ac:dyDescent="0.25">
      <c r="A269" s="28">
        <v>45925</v>
      </c>
      <c r="B269" s="29">
        <v>3736.89990234375</v>
      </c>
      <c r="D269" s="28">
        <v>45946</v>
      </c>
      <c r="E269" s="29">
        <v>3902.16</v>
      </c>
      <c r="I269" s="53">
        <v>45946</v>
      </c>
      <c r="J269" s="55">
        <f t="shared" si="4"/>
        <v>16702025.994140625</v>
      </c>
      <c r="K269" s="55">
        <f>J269/$Q$2</f>
        <v>536982.60492025199</v>
      </c>
    </row>
    <row r="270" spans="1:11" x14ac:dyDescent="0.25">
      <c r="A270" s="28">
        <v>45926</v>
      </c>
      <c r="B270" s="29">
        <v>3775.300048828125</v>
      </c>
      <c r="D270" s="28">
        <v>45947</v>
      </c>
      <c r="E270" s="29">
        <v>3877.07</v>
      </c>
      <c r="I270" s="53">
        <v>45947</v>
      </c>
      <c r="J270" s="55">
        <f t="shared" si="4"/>
        <v>16244535.214379884</v>
      </c>
      <c r="K270" s="55">
        <f>J270/$Q$2</f>
        <v>522273.93480268045</v>
      </c>
    </row>
    <row r="271" spans="1:11" x14ac:dyDescent="0.25">
      <c r="A271" s="28">
        <v>45929</v>
      </c>
      <c r="B271" s="29">
        <v>3820.89990234375</v>
      </c>
      <c r="D271" s="28">
        <v>45948</v>
      </c>
      <c r="E271" s="29">
        <v>3808.12</v>
      </c>
      <c r="I271" s="53"/>
      <c r="J271" s="55"/>
      <c r="K271" s="55"/>
    </row>
    <row r="272" spans="1:11" x14ac:dyDescent="0.25">
      <c r="A272" s="28">
        <v>45930</v>
      </c>
      <c r="B272" s="29">
        <v>3840.800048828125</v>
      </c>
      <c r="D272" s="28">
        <v>45951</v>
      </c>
      <c r="E272" s="29">
        <v>3877.26</v>
      </c>
      <c r="I272" s="53">
        <v>45951</v>
      </c>
      <c r="J272" s="55">
        <f t="shared" si="4"/>
        <v>15849075.512680665</v>
      </c>
      <c r="K272" s="55">
        <f>J272/$Q$2</f>
        <v>509559.61015524366</v>
      </c>
    </row>
    <row r="273" spans="1:11" x14ac:dyDescent="0.25">
      <c r="A273" s="28">
        <v>45931</v>
      </c>
      <c r="B273" s="29">
        <v>3867.5</v>
      </c>
      <c r="D273" s="28">
        <v>45952</v>
      </c>
      <c r="E273" s="29">
        <v>3876.6</v>
      </c>
      <c r="I273" s="53">
        <v>45952</v>
      </c>
      <c r="J273" s="55">
        <f t="shared" si="4"/>
        <v>15678520.661425781</v>
      </c>
      <c r="K273" s="55">
        <f>J273/$Q$2</f>
        <v>504076.1443564978</v>
      </c>
    </row>
    <row r="274" spans="1:11" x14ac:dyDescent="0.25">
      <c r="A274" s="28">
        <v>45932</v>
      </c>
      <c r="B274" s="29">
        <v>3839.699951171875</v>
      </c>
      <c r="D274" s="28">
        <v>45953</v>
      </c>
      <c r="E274" s="29">
        <v>3900.82</v>
      </c>
      <c r="I274" s="53">
        <v>45953</v>
      </c>
      <c r="J274" s="55">
        <f t="shared" si="4"/>
        <v>16092832.91</v>
      </c>
      <c r="K274" s="55">
        <f>J274/$Q$2</f>
        <v>517396.59246068593</v>
      </c>
    </row>
    <row r="275" spans="1:11" x14ac:dyDescent="0.25">
      <c r="A275" s="28">
        <v>45933</v>
      </c>
      <c r="B275" s="29">
        <v>3880.800048828125</v>
      </c>
      <c r="D275" s="28">
        <v>45954</v>
      </c>
      <c r="E275" s="29">
        <v>3888.76</v>
      </c>
      <c r="I275" s="53">
        <v>45954</v>
      </c>
      <c r="J275" s="55">
        <f t="shared" si="4"/>
        <v>16015468.804238282</v>
      </c>
      <c r="K275" s="55">
        <f>J275/$Q$2</f>
        <v>514909.27870283241</v>
      </c>
    </row>
    <row r="276" spans="1:11" x14ac:dyDescent="0.25">
      <c r="A276" s="28">
        <v>45936</v>
      </c>
      <c r="B276" s="29">
        <v>3948.5</v>
      </c>
      <c r="D276" s="28">
        <v>45955</v>
      </c>
      <c r="E276" s="29">
        <v>3858.63</v>
      </c>
      <c r="I276" s="53"/>
      <c r="J276" s="55"/>
      <c r="K276" s="55"/>
    </row>
    <row r="277" spans="1:11" x14ac:dyDescent="0.25">
      <c r="A277" s="28">
        <v>45937</v>
      </c>
      <c r="B277" s="29">
        <v>3976.60009765625</v>
      </c>
      <c r="D277" s="28">
        <v>45958</v>
      </c>
      <c r="E277" s="29">
        <v>3844.2</v>
      </c>
      <c r="I277" s="53">
        <v>45958</v>
      </c>
      <c r="J277" s="55">
        <f t="shared" si="4"/>
        <v>15246865.852294922</v>
      </c>
      <c r="K277" s="55">
        <f>J277/$Q$2</f>
        <v>490198.11998300208</v>
      </c>
    </row>
    <row r="278" spans="1:11" x14ac:dyDescent="0.25">
      <c r="A278" s="28">
        <v>45938</v>
      </c>
      <c r="B278" s="29">
        <v>4043.300048828125</v>
      </c>
      <c r="D278" s="28">
        <v>45959</v>
      </c>
      <c r="E278" s="29">
        <v>3874.84</v>
      </c>
      <c r="I278" s="53">
        <v>45959</v>
      </c>
      <c r="J278" s="55">
        <f t="shared" si="4"/>
        <v>15436199.918798828</v>
      </c>
      <c r="K278" s="55">
        <f>J278/$Q$2</f>
        <v>496285.35157197696</v>
      </c>
    </row>
    <row r="279" spans="1:11" x14ac:dyDescent="0.25">
      <c r="A279" s="28">
        <v>45939</v>
      </c>
      <c r="B279" s="29">
        <v>3946.300048828125</v>
      </c>
      <c r="D279" s="28">
        <v>45960</v>
      </c>
      <c r="E279" s="29">
        <v>3885.29</v>
      </c>
      <c r="I279" s="53">
        <v>45960</v>
      </c>
      <c r="J279" s="55">
        <f t="shared" si="4"/>
        <v>15546211.066711426</v>
      </c>
      <c r="K279" s="55">
        <f>J279/$Q$2</f>
        <v>499822.29210823873</v>
      </c>
    </row>
    <row r="280" spans="1:11" x14ac:dyDescent="0.25">
      <c r="A280" s="28">
        <v>45940</v>
      </c>
      <c r="B280" s="29">
        <v>3975.89990234375</v>
      </c>
      <c r="D280" s="28">
        <v>45961</v>
      </c>
      <c r="E280" s="29">
        <v>3870.42</v>
      </c>
      <c r="I280" s="53">
        <v>45961</v>
      </c>
      <c r="J280" s="55">
        <f t="shared" si="4"/>
        <v>15412786.335014649</v>
      </c>
      <c r="K280" s="55">
        <f>J280/$Q$2</f>
        <v>495532.58737346844</v>
      </c>
    </row>
    <row r="281" spans="1:11" x14ac:dyDescent="0.25">
      <c r="A281" s="28">
        <v>45943</v>
      </c>
      <c r="B281" s="29">
        <v>4108.60009765625</v>
      </c>
      <c r="D281" s="28">
        <v>45962</v>
      </c>
      <c r="E281" s="29">
        <v>3860.12</v>
      </c>
      <c r="I281" s="53"/>
      <c r="J281" s="55"/>
      <c r="K281" s="55"/>
    </row>
    <row r="282" spans="1:11" x14ac:dyDescent="0.25">
      <c r="A282" s="28">
        <v>45944</v>
      </c>
      <c r="B282" s="29">
        <v>4138.7001953125</v>
      </c>
      <c r="D282" s="28">
        <v>45966</v>
      </c>
      <c r="E282" s="29">
        <v>3872.47</v>
      </c>
      <c r="I282" s="53">
        <v>45966</v>
      </c>
      <c r="J282" s="55">
        <f t="shared" si="4"/>
        <v>15413592.530085448</v>
      </c>
      <c r="K282" s="55">
        <f>J282/$Q$2</f>
        <v>495558.50714687462</v>
      </c>
    </row>
    <row r="283" spans="1:11" x14ac:dyDescent="0.25">
      <c r="A283" s="28">
        <v>45945</v>
      </c>
      <c r="B283" s="29">
        <v>4176.89990234375</v>
      </c>
      <c r="D283" s="28">
        <v>45967</v>
      </c>
      <c r="E283" s="29">
        <v>3839.47</v>
      </c>
      <c r="I283" s="53">
        <v>45967</v>
      </c>
      <c r="J283" s="55">
        <f t="shared" si="4"/>
        <v>15280706.278051756</v>
      </c>
      <c r="K283" s="55">
        <f>J283/$Q$2</f>
        <v>491286.11493528454</v>
      </c>
    </row>
    <row r="284" spans="1:11" x14ac:dyDescent="0.25">
      <c r="A284" s="28">
        <v>45946</v>
      </c>
      <c r="B284" s="29">
        <v>4280.2001953125</v>
      </c>
      <c r="D284" s="28">
        <v>45968</v>
      </c>
      <c r="E284" s="29">
        <v>3807.06</v>
      </c>
      <c r="I284" s="53">
        <v>45968</v>
      </c>
      <c r="J284" s="55">
        <f t="shared" si="4"/>
        <v>15225955.392216796</v>
      </c>
      <c r="K284" s="55">
        <f>J284/$Q$2</f>
        <v>489525.83308039687</v>
      </c>
    </row>
    <row r="285" spans="1:11" x14ac:dyDescent="0.25">
      <c r="A285" s="28">
        <v>45947</v>
      </c>
      <c r="B285" s="29">
        <v>4189.89990234375</v>
      </c>
      <c r="D285" s="28">
        <v>45969</v>
      </c>
      <c r="E285" s="29">
        <v>3779.2</v>
      </c>
      <c r="I285" s="53"/>
      <c r="J285" s="55"/>
      <c r="K285" s="55"/>
    </row>
    <row r="286" spans="1:11" x14ac:dyDescent="0.25">
      <c r="A286" s="28">
        <v>45950</v>
      </c>
      <c r="B286" s="29">
        <v>4336.39990234375</v>
      </c>
      <c r="D286" s="28">
        <v>45972</v>
      </c>
      <c r="E286" s="29">
        <v>3760.93</v>
      </c>
      <c r="I286" s="53">
        <v>45972</v>
      </c>
      <c r="J286" s="55">
        <f t="shared" si="4"/>
        <v>15445386.58944336</v>
      </c>
      <c r="K286" s="55">
        <f>J286/$Q$2</f>
        <v>496580.70989167871</v>
      </c>
    </row>
    <row r="287" spans="1:11" x14ac:dyDescent="0.25">
      <c r="A287" s="28">
        <v>45951</v>
      </c>
      <c r="B287" s="29">
        <v>4087.699951171875</v>
      </c>
      <c r="D287" s="28">
        <v>45974</v>
      </c>
      <c r="E287" s="29">
        <v>3719.71</v>
      </c>
      <c r="I287" s="53">
        <v>45974</v>
      </c>
      <c r="J287" s="55">
        <f t="shared" si="4"/>
        <v>15574053.43574707</v>
      </c>
      <c r="K287" s="55">
        <f>J287/$Q$2</f>
        <v>500717.44505897391</v>
      </c>
    </row>
    <row r="288" spans="1:11" x14ac:dyDescent="0.25">
      <c r="A288" s="28">
        <v>45952</v>
      </c>
      <c r="B288" s="29">
        <v>4044.39990234375</v>
      </c>
      <c r="D288" s="28">
        <v>45975</v>
      </c>
      <c r="E288" s="29">
        <v>3719.6</v>
      </c>
      <c r="I288" s="53">
        <v>45975</v>
      </c>
      <c r="J288" s="55">
        <f t="shared" si="4"/>
        <v>15204237.323242188</v>
      </c>
      <c r="K288" s="55">
        <f>J288/$Q$2</f>
        <v>488827.58094883425</v>
      </c>
    </row>
    <row r="289" spans="1:11" x14ac:dyDescent="0.25">
      <c r="A289" s="28">
        <v>45953</v>
      </c>
      <c r="B289" s="29">
        <v>4125.5</v>
      </c>
      <c r="D289" s="28">
        <v>45976</v>
      </c>
      <c r="E289" s="29">
        <v>3764.77</v>
      </c>
      <c r="I289" s="53"/>
      <c r="J289" s="55"/>
      <c r="K289" s="55"/>
    </row>
    <row r="290" spans="1:11" x14ac:dyDescent="0.25">
      <c r="A290" s="28">
        <v>45954</v>
      </c>
      <c r="B290" s="29">
        <v>4118.39990234375</v>
      </c>
      <c r="D290" s="28">
        <v>45980</v>
      </c>
      <c r="E290" s="29">
        <v>3737.55</v>
      </c>
      <c r="I290" s="53">
        <v>45980</v>
      </c>
      <c r="J290" s="55">
        <f t="shared" si="4"/>
        <v>15240607.452502443</v>
      </c>
      <c r="K290" s="55">
        <f>J290/$Q$2</f>
        <v>489996.90775734896</v>
      </c>
    </row>
    <row r="291" spans="1:11" x14ac:dyDescent="0.25">
      <c r="A291" s="28">
        <v>45957</v>
      </c>
      <c r="B291" s="29">
        <v>4001.89990234375</v>
      </c>
      <c r="D291" s="28">
        <v>45981</v>
      </c>
      <c r="E291" s="29">
        <v>3716.73</v>
      </c>
      <c r="I291" s="53">
        <v>45981</v>
      </c>
      <c r="J291" s="55">
        <f t="shared" si="4"/>
        <v>15076915.244999999</v>
      </c>
      <c r="K291" s="55">
        <f>J291/$Q$2</f>
        <v>484734.0810786786</v>
      </c>
    </row>
    <row r="292" spans="1:11" x14ac:dyDescent="0.25">
      <c r="A292" s="28">
        <v>45958</v>
      </c>
      <c r="B292" s="29">
        <v>3966.199951171875</v>
      </c>
      <c r="D292" s="28">
        <v>45982</v>
      </c>
      <c r="E292" s="29">
        <v>3741.27</v>
      </c>
      <c r="I292" s="53">
        <v>45982</v>
      </c>
      <c r="J292" s="55">
        <f t="shared" si="4"/>
        <v>15252035.226320801</v>
      </c>
      <c r="K292" s="55">
        <f>J292/$Q$2</f>
        <v>490364.31921722658</v>
      </c>
    </row>
    <row r="293" spans="1:11" x14ac:dyDescent="0.25">
      <c r="A293" s="28">
        <v>45959</v>
      </c>
      <c r="B293" s="29">
        <v>3983.699951171875</v>
      </c>
      <c r="D293" s="28">
        <v>45983</v>
      </c>
      <c r="E293" s="29">
        <v>3808.77</v>
      </c>
      <c r="I293" s="53"/>
      <c r="J293" s="55"/>
      <c r="K293" s="55"/>
    </row>
    <row r="294" spans="1:11" x14ac:dyDescent="0.25">
      <c r="A294" s="28">
        <v>45960</v>
      </c>
      <c r="B294" s="29">
        <v>4001.300048828125</v>
      </c>
      <c r="D294" s="28">
        <v>45986</v>
      </c>
      <c r="E294" s="29">
        <v>3804.09</v>
      </c>
      <c r="I294" s="53">
        <v>45986</v>
      </c>
      <c r="J294" s="55">
        <f t="shared" si="4"/>
        <v>15745890.070986329</v>
      </c>
      <c r="K294" s="55">
        <f>J294/$Q$2</f>
        <v>506242.1211697571</v>
      </c>
    </row>
    <row r="295" spans="1:11" x14ac:dyDescent="0.25">
      <c r="A295" s="28">
        <v>45961</v>
      </c>
      <c r="B295" s="29">
        <v>3982.199951171875</v>
      </c>
      <c r="D295" s="28">
        <v>45987</v>
      </c>
      <c r="E295" s="29">
        <v>3806.16</v>
      </c>
      <c r="I295" s="53">
        <v>45987</v>
      </c>
      <c r="J295" s="55">
        <f t="shared" si="4"/>
        <v>15853418.375390625</v>
      </c>
      <c r="K295" s="55">
        <f>J295/$Q$2</f>
        <v>509699.23643361393</v>
      </c>
    </row>
    <row r="296" spans="1:11" x14ac:dyDescent="0.25">
      <c r="A296" s="28">
        <v>45964</v>
      </c>
      <c r="B296" s="29">
        <v>4000.300048828125</v>
      </c>
      <c r="D296" s="28">
        <v>45988</v>
      </c>
      <c r="E296" s="29">
        <v>3773.6</v>
      </c>
      <c r="I296" s="53"/>
      <c r="J296" s="55"/>
      <c r="K296" s="55"/>
    </row>
    <row r="297" spans="1:11" x14ac:dyDescent="0.25">
      <c r="A297" s="28">
        <v>45965</v>
      </c>
      <c r="B297" s="29">
        <v>3947.699951171875</v>
      </c>
      <c r="D297" s="28">
        <v>45990</v>
      </c>
      <c r="E297" s="29">
        <v>3744.43</v>
      </c>
      <c r="I297" s="53"/>
      <c r="J297" s="55"/>
      <c r="K297" s="55"/>
    </row>
    <row r="298" spans="1:11" x14ac:dyDescent="0.25">
      <c r="A298" s="28">
        <v>45966</v>
      </c>
      <c r="B298" s="29">
        <v>3980.300048828125</v>
      </c>
      <c r="D298" s="28">
        <v>45993</v>
      </c>
      <c r="E298" s="29">
        <v>3784.43</v>
      </c>
      <c r="I298" s="53">
        <v>45993</v>
      </c>
      <c r="J298" s="55">
        <f t="shared" si="4"/>
        <v>15843895.007573241</v>
      </c>
      <c r="K298" s="55">
        <f>J298/$Q$2</f>
        <v>509393.0530484374</v>
      </c>
    </row>
    <row r="299" spans="1:11" x14ac:dyDescent="0.25">
      <c r="A299" s="28">
        <v>45967</v>
      </c>
      <c r="B299" s="29">
        <v>3979.89990234375</v>
      </c>
      <c r="D299" s="28">
        <v>45994</v>
      </c>
      <c r="E299" s="29">
        <v>3817.66</v>
      </c>
      <c r="I299" s="53">
        <v>45994</v>
      </c>
      <c r="J299" s="55">
        <f t="shared" si="4"/>
        <v>16031498.89236328</v>
      </c>
      <c r="K299" s="55">
        <f>J299/$Q$2</f>
        <v>515424.65800361201</v>
      </c>
    </row>
    <row r="300" spans="1:11" x14ac:dyDescent="0.25">
      <c r="A300" s="28">
        <v>45968</v>
      </c>
      <c r="B300" s="29">
        <v>3999.39990234375</v>
      </c>
      <c r="D300" s="28">
        <v>45995</v>
      </c>
      <c r="E300" s="29">
        <v>3780.8</v>
      </c>
      <c r="I300" s="53">
        <v>45995</v>
      </c>
      <c r="J300" s="55">
        <f t="shared" si="4"/>
        <v>15923972.701562501</v>
      </c>
      <c r="K300" s="55">
        <f>J300/$Q$2</f>
        <v>511967.61069368623</v>
      </c>
    </row>
    <row r="301" spans="1:11" x14ac:dyDescent="0.25">
      <c r="A301" s="28">
        <v>45971</v>
      </c>
      <c r="B301" s="29">
        <v>4111.7998046875</v>
      </c>
      <c r="D301" s="28">
        <v>45996</v>
      </c>
      <c r="E301" s="29">
        <v>3757.92</v>
      </c>
      <c r="I301" s="53">
        <v>45996</v>
      </c>
      <c r="J301" s="55">
        <f t="shared" si="4"/>
        <v>15831740.801015625</v>
      </c>
      <c r="K301" s="55">
        <f>J301/$Q$2</f>
        <v>509002.28623366071</v>
      </c>
    </row>
    <row r="302" spans="1:11" x14ac:dyDescent="0.25">
      <c r="A302" s="28">
        <v>45972</v>
      </c>
      <c r="B302" s="29">
        <v>4106.7998046875</v>
      </c>
      <c r="D302" s="28">
        <v>45997</v>
      </c>
      <c r="E302" s="29">
        <v>3830.02</v>
      </c>
      <c r="I302" s="53"/>
      <c r="J302" s="55"/>
      <c r="K302" s="55"/>
    </row>
    <row r="303" spans="1:11" x14ac:dyDescent="0.25">
      <c r="A303" s="28">
        <v>45973</v>
      </c>
      <c r="B303" s="29">
        <v>4204.39990234375</v>
      </c>
      <c r="D303" s="28">
        <v>46001</v>
      </c>
      <c r="E303" s="29">
        <v>3861.34</v>
      </c>
      <c r="I303" s="53">
        <v>46001</v>
      </c>
      <c r="J303" s="55">
        <f t="shared" si="4"/>
        <v>16203726.798916016</v>
      </c>
      <c r="K303" s="55">
        <f>J303/$Q$2</f>
        <v>520961.91377923434</v>
      </c>
    </row>
    <row r="304" spans="1:11" x14ac:dyDescent="0.25">
      <c r="A304" s="28">
        <v>45974</v>
      </c>
      <c r="B304" s="29">
        <v>4186.89990234375</v>
      </c>
      <c r="D304" s="28">
        <v>46002</v>
      </c>
      <c r="E304" s="29">
        <v>3854.28</v>
      </c>
      <c r="I304" s="53">
        <v>46002</v>
      </c>
      <c r="J304" s="55">
        <f t="shared" si="4"/>
        <v>16517516.940000001</v>
      </c>
      <c r="K304" s="55">
        <f>J304/$Q$2</f>
        <v>531050.50108095957</v>
      </c>
    </row>
    <row r="305" spans="1:11" x14ac:dyDescent="0.25">
      <c r="A305" s="28">
        <v>45975</v>
      </c>
      <c r="B305" s="29">
        <v>4087.60009765625</v>
      </c>
      <c r="D305" s="28">
        <v>46003</v>
      </c>
      <c r="E305" s="29">
        <v>3810.99</v>
      </c>
      <c r="I305" s="53">
        <v>46003</v>
      </c>
      <c r="J305" s="55">
        <f t="shared" si="4"/>
        <v>16387638.471166991</v>
      </c>
      <c r="K305" s="55">
        <f>J305/$Q$2</f>
        <v>526874.81134478806</v>
      </c>
    </row>
    <row r="306" spans="1:11" x14ac:dyDescent="0.25">
      <c r="A306" s="28">
        <v>45978</v>
      </c>
      <c r="B306" s="29">
        <v>4068.300048828125</v>
      </c>
      <c r="D306" s="28">
        <v>46004</v>
      </c>
      <c r="E306" s="29">
        <v>3788.53</v>
      </c>
      <c r="I306" s="53"/>
      <c r="J306" s="55"/>
      <c r="K306" s="55"/>
    </row>
    <row r="307" spans="1:11" x14ac:dyDescent="0.25">
      <c r="A307" s="28">
        <v>45979</v>
      </c>
      <c r="B307" s="29">
        <v>4061.300048828125</v>
      </c>
      <c r="D307" s="28">
        <v>46007</v>
      </c>
      <c r="E307" s="29">
        <v>3817.59</v>
      </c>
      <c r="I307" s="53">
        <v>46007</v>
      </c>
      <c r="J307" s="55">
        <f t="shared" si="4"/>
        <v>16432816.155000001</v>
      </c>
      <c r="K307" s="55">
        <f>J307/$Q$2</f>
        <v>528327.30760826077</v>
      </c>
    </row>
    <row r="308" spans="1:11" x14ac:dyDescent="0.25">
      <c r="A308" s="28">
        <v>45980</v>
      </c>
      <c r="B308" s="29">
        <v>4077.699951171875</v>
      </c>
      <c r="D308" s="28">
        <v>46008</v>
      </c>
      <c r="E308" s="29">
        <v>3847.1</v>
      </c>
      <c r="I308" s="53">
        <v>46008</v>
      </c>
      <c r="J308" s="55">
        <f t="shared" si="4"/>
        <v>16725267.25</v>
      </c>
      <c r="K308" s="55">
        <f>J308/$Q$2</f>
        <v>537729.82864732342</v>
      </c>
    </row>
    <row r="309" spans="1:11" x14ac:dyDescent="0.25">
      <c r="A309" s="28">
        <v>45981</v>
      </c>
      <c r="B309" s="29">
        <v>4056.5</v>
      </c>
      <c r="D309" s="28">
        <v>46009</v>
      </c>
      <c r="E309" s="29">
        <v>3866.77</v>
      </c>
      <c r="I309" s="53">
        <v>46009</v>
      </c>
      <c r="J309" s="55">
        <f t="shared" si="4"/>
        <v>16779848.414999999</v>
      </c>
      <c r="K309" s="55">
        <f>J309/$Q$2</f>
        <v>539484.65385065891</v>
      </c>
    </row>
    <row r="310" spans="1:11" x14ac:dyDescent="0.25">
      <c r="A310" s="28">
        <v>45982</v>
      </c>
      <c r="B310" s="29">
        <v>4076.699951171875</v>
      </c>
      <c r="D310" s="28">
        <v>46010</v>
      </c>
      <c r="E310" s="29">
        <v>3874.71</v>
      </c>
      <c r="I310" s="53">
        <v>46010</v>
      </c>
      <c r="J310" s="55">
        <f t="shared" si="4"/>
        <v>16899159.815610353</v>
      </c>
      <c r="K310" s="55">
        <f>J310/$Q$2</f>
        <v>543320.6044544304</v>
      </c>
    </row>
    <row r="311" spans="1:11" x14ac:dyDescent="0.25">
      <c r="A311" s="28">
        <v>45985</v>
      </c>
      <c r="B311" s="29">
        <v>4091.89990234375</v>
      </c>
      <c r="D311" s="28">
        <v>46011</v>
      </c>
      <c r="E311" s="29">
        <v>3817.93</v>
      </c>
      <c r="I311" s="53"/>
      <c r="J311" s="55"/>
      <c r="K311" s="55"/>
    </row>
    <row r="312" spans="1:11" x14ac:dyDescent="0.25">
      <c r="A312" s="28">
        <v>45986</v>
      </c>
      <c r="B312" s="29">
        <v>4139.2001953125</v>
      </c>
      <c r="D312" s="28">
        <v>46014</v>
      </c>
      <c r="E312" s="29">
        <v>3792.59</v>
      </c>
      <c r="I312" s="53">
        <v>46014</v>
      </c>
      <c r="J312" s="55">
        <f t="shared" si="4"/>
        <v>17001421.711259767</v>
      </c>
      <c r="K312" s="55">
        <f>J312/$Q$2</f>
        <v>546608.40074508218</v>
      </c>
    </row>
    <row r="313" spans="1:11" x14ac:dyDescent="0.25">
      <c r="A313" s="28">
        <v>45987</v>
      </c>
      <c r="B313" s="29">
        <v>4165.2001953125</v>
      </c>
      <c r="D313" s="28">
        <v>46015</v>
      </c>
      <c r="E313" s="29">
        <v>3759.48</v>
      </c>
      <c r="I313" s="53">
        <v>46015</v>
      </c>
      <c r="J313" s="55">
        <f t="shared" si="4"/>
        <v>16844726.45513672</v>
      </c>
      <c r="K313" s="55">
        <f>J313/$Q$2</f>
        <v>541570.53127696388</v>
      </c>
    </row>
    <row r="314" spans="1:11" x14ac:dyDescent="0.25">
      <c r="A314" s="28">
        <v>45989</v>
      </c>
      <c r="B314" s="29">
        <v>4218.2998046875</v>
      </c>
      <c r="D314" s="28">
        <v>46016</v>
      </c>
      <c r="E314" s="29">
        <v>3706.94</v>
      </c>
      <c r="I314" s="53"/>
      <c r="J314" s="55"/>
      <c r="K314" s="55"/>
    </row>
    <row r="315" spans="1:11" x14ac:dyDescent="0.25">
      <c r="A315" s="28">
        <v>45992</v>
      </c>
      <c r="B315" s="29">
        <v>4239.2998046875</v>
      </c>
      <c r="D315" s="28">
        <v>46018</v>
      </c>
      <c r="E315" s="29">
        <v>3716.05</v>
      </c>
      <c r="I315" s="53"/>
      <c r="J315" s="55"/>
      <c r="K315" s="55"/>
    </row>
    <row r="316" spans="1:11" x14ac:dyDescent="0.25">
      <c r="A316" s="28">
        <v>45993</v>
      </c>
      <c r="B316" s="29">
        <v>4186.60009765625</v>
      </c>
      <c r="D316" s="28">
        <v>46021</v>
      </c>
      <c r="E316" s="29">
        <v>3706.97</v>
      </c>
      <c r="I316" s="53">
        <v>46021</v>
      </c>
      <c r="J316" s="55">
        <f t="shared" si="4"/>
        <v>16199829.959008789</v>
      </c>
      <c r="K316" s="55">
        <f>J316/$Q$2</f>
        <v>520836.6274669586</v>
      </c>
    </row>
    <row r="317" spans="1:11" x14ac:dyDescent="0.25">
      <c r="A317" s="28">
        <v>45994</v>
      </c>
      <c r="B317" s="29">
        <v>4199.2998046875</v>
      </c>
      <c r="D317" s="28">
        <v>46022</v>
      </c>
      <c r="E317" s="29">
        <v>3757.08</v>
      </c>
      <c r="I317" s="53">
        <v>46022</v>
      </c>
      <c r="J317" s="55">
        <f t="shared" si="4"/>
        <v>16251625.614902344</v>
      </c>
      <c r="K317" s="55">
        <f>J317/$Q$2</f>
        <v>522501.89647294814</v>
      </c>
    </row>
    <row r="318" spans="1:11" x14ac:dyDescent="0.25">
      <c r="A318" s="28">
        <v>45995</v>
      </c>
      <c r="B318" s="29">
        <v>4211.7998046875</v>
      </c>
      <c r="D318" s="28">
        <v>46025</v>
      </c>
      <c r="E318" s="29">
        <v>3790.77</v>
      </c>
      <c r="I318" s="53"/>
      <c r="J318" s="55"/>
      <c r="K318" s="55"/>
    </row>
    <row r="319" spans="1:11" x14ac:dyDescent="0.25">
      <c r="A319" s="28">
        <v>45996</v>
      </c>
      <c r="B319" s="29">
        <v>4212.89990234375</v>
      </c>
      <c r="D319" s="28">
        <v>46028</v>
      </c>
      <c r="E319" s="29">
        <v>3770.03</v>
      </c>
      <c r="I319" s="53">
        <v>46028</v>
      </c>
      <c r="J319" s="55">
        <f t="shared" si="4"/>
        <v>16898029.202333987</v>
      </c>
      <c r="K319" s="55">
        <f>J319/$Q$2</f>
        <v>543284.25439351483</v>
      </c>
    </row>
    <row r="320" spans="1:11" x14ac:dyDescent="0.25">
      <c r="A320" s="28">
        <v>45999</v>
      </c>
      <c r="B320" s="29">
        <v>4187.2001953125</v>
      </c>
      <c r="D320" s="28">
        <v>46029</v>
      </c>
      <c r="E320" s="29">
        <v>3730.26</v>
      </c>
      <c r="I320" s="53">
        <v>46029</v>
      </c>
      <c r="J320" s="55">
        <f t="shared" si="4"/>
        <v>16597045.089433596</v>
      </c>
      <c r="K320" s="55">
        <f>J320/$Q$2</f>
        <v>533607.39045847103</v>
      </c>
    </row>
    <row r="321" spans="1:11" x14ac:dyDescent="0.25">
      <c r="A321" s="28">
        <v>46000</v>
      </c>
      <c r="B321" s="29">
        <v>4206.7001953125</v>
      </c>
      <c r="D321" s="28">
        <v>46030</v>
      </c>
      <c r="E321" s="29">
        <v>3748.83</v>
      </c>
      <c r="I321" s="53">
        <v>46030</v>
      </c>
      <c r="J321" s="55">
        <f t="shared" si="4"/>
        <v>16681169.58319336</v>
      </c>
      <c r="K321" s="55">
        <f>J321/$Q$2</f>
        <v>536312.05573755538</v>
      </c>
    </row>
    <row r="322" spans="1:11" x14ac:dyDescent="0.25">
      <c r="A322" s="28">
        <v>46001</v>
      </c>
      <c r="B322" s="29">
        <v>4196.39990234375</v>
      </c>
      <c r="D322" s="28">
        <v>46031</v>
      </c>
      <c r="E322" s="29">
        <v>3734.67</v>
      </c>
      <c r="I322" s="53">
        <v>46031</v>
      </c>
      <c r="J322" s="55">
        <f t="shared" si="4"/>
        <v>16769787.971572265</v>
      </c>
      <c r="K322" s="55">
        <f>J322/$Q$2</f>
        <v>539161.20308364579</v>
      </c>
    </row>
    <row r="323" spans="1:11" x14ac:dyDescent="0.25">
      <c r="A323" s="28">
        <v>46002</v>
      </c>
      <c r="B323" s="29">
        <v>4285.5</v>
      </c>
      <c r="D323" s="28">
        <v>46032</v>
      </c>
      <c r="E323" s="29">
        <v>3717.09</v>
      </c>
      <c r="I323" s="53"/>
      <c r="J323" s="55"/>
      <c r="K323" s="55"/>
    </row>
    <row r="324" spans="1:11" x14ac:dyDescent="0.25">
      <c r="A324" s="28">
        <v>46003</v>
      </c>
      <c r="B324" s="29">
        <v>4300.10009765625</v>
      </c>
      <c r="D324" s="28">
        <v>46036</v>
      </c>
      <c r="E324" s="29">
        <v>3663.24</v>
      </c>
      <c r="I324" s="53">
        <v>46036</v>
      </c>
      <c r="J324" s="55">
        <f t="shared" ref="J323:J386" si="5">E324*_xlfn.XLOOKUP(I324,$A$2:$A$504,$B$2:$B$504)</f>
        <v>16947246.496523436</v>
      </c>
      <c r="K324" s="55">
        <f>J324/$Q$2</f>
        <v>544866.62714579341</v>
      </c>
    </row>
    <row r="325" spans="1:11" x14ac:dyDescent="0.25">
      <c r="A325" s="28">
        <v>46006</v>
      </c>
      <c r="B325" s="29">
        <v>4306.7001953125</v>
      </c>
      <c r="D325" s="28">
        <v>46037</v>
      </c>
      <c r="E325" s="29">
        <v>3655.16</v>
      </c>
      <c r="I325" s="53">
        <v>46037</v>
      </c>
      <c r="J325" s="55">
        <f t="shared" si="5"/>
        <v>16873314.39410156</v>
      </c>
      <c r="K325" s="55">
        <f>J325/$Q$2</f>
        <v>542489.6548575419</v>
      </c>
    </row>
    <row r="326" spans="1:11" x14ac:dyDescent="0.25">
      <c r="A326" s="28">
        <v>46007</v>
      </c>
      <c r="B326" s="29">
        <v>4304.5</v>
      </c>
      <c r="D326" s="28">
        <v>46038</v>
      </c>
      <c r="E326" s="29">
        <v>3687.32</v>
      </c>
      <c r="I326" s="53">
        <v>46038</v>
      </c>
      <c r="J326" s="55">
        <f t="shared" si="5"/>
        <v>16918898.727910157</v>
      </c>
      <c r="K326" s="55">
        <f>J326/$Q$2</f>
        <v>543955.2252213218</v>
      </c>
    </row>
    <row r="327" spans="1:11" x14ac:dyDescent="0.25">
      <c r="A327" s="28">
        <v>46008</v>
      </c>
      <c r="B327" s="29">
        <v>4347.5</v>
      </c>
      <c r="D327" s="28">
        <v>46039</v>
      </c>
      <c r="E327" s="29">
        <v>3700.05</v>
      </c>
      <c r="I327" s="53"/>
      <c r="J327" s="55"/>
      <c r="K327" s="55"/>
    </row>
    <row r="328" spans="1:11" x14ac:dyDescent="0.25">
      <c r="A328" s="28">
        <v>46009</v>
      </c>
      <c r="B328" s="29">
        <v>4339.5</v>
      </c>
      <c r="D328" s="28">
        <v>46043</v>
      </c>
      <c r="E328" s="29">
        <v>3682.97</v>
      </c>
      <c r="I328" s="53">
        <v>46043</v>
      </c>
      <c r="J328" s="55">
        <f t="shared" si="5"/>
        <v>17795373.726669922</v>
      </c>
      <c r="K328" s="55">
        <f>J328/$Q$2</f>
        <v>572134.5507801855</v>
      </c>
    </row>
    <row r="329" spans="1:11" x14ac:dyDescent="0.25">
      <c r="A329" s="28">
        <v>46010</v>
      </c>
      <c r="B329" s="29">
        <v>4361.39990234375</v>
      </c>
      <c r="D329" s="28">
        <v>46044</v>
      </c>
      <c r="E329" s="29">
        <v>3669.15</v>
      </c>
      <c r="I329" s="53">
        <v>46044</v>
      </c>
      <c r="J329" s="55">
        <f t="shared" si="5"/>
        <v>18011122.803369142</v>
      </c>
      <c r="K329" s="55">
        <f>J329/$Q$2</f>
        <v>579071.04466755758</v>
      </c>
    </row>
    <row r="330" spans="1:11" x14ac:dyDescent="0.25">
      <c r="A330" s="28">
        <v>46013</v>
      </c>
      <c r="B330" s="29">
        <v>4444.60009765625</v>
      </c>
      <c r="D330" s="28">
        <v>46045</v>
      </c>
      <c r="E330" s="29">
        <v>3630.33</v>
      </c>
      <c r="I330" s="53">
        <v>46045</v>
      </c>
      <c r="J330" s="55">
        <f t="shared" si="5"/>
        <v>18065248.855048828</v>
      </c>
      <c r="K330" s="55">
        <f>J330/$Q$2</f>
        <v>580811.23763787164</v>
      </c>
    </row>
    <row r="331" spans="1:11" x14ac:dyDescent="0.25">
      <c r="A331" s="28">
        <v>46014</v>
      </c>
      <c r="B331" s="29">
        <v>4482.7998046875</v>
      </c>
      <c r="D331" s="28">
        <v>46046</v>
      </c>
      <c r="E331" s="29">
        <v>3637.88</v>
      </c>
      <c r="I331" s="53"/>
      <c r="J331" s="55"/>
      <c r="K331" s="55"/>
    </row>
    <row r="332" spans="1:11" x14ac:dyDescent="0.25">
      <c r="A332" s="28">
        <v>46015</v>
      </c>
      <c r="B332" s="29">
        <v>4480.60009765625</v>
      </c>
      <c r="D332" s="28">
        <v>46049</v>
      </c>
      <c r="E332" s="29">
        <v>3676.02</v>
      </c>
      <c r="I332" s="53">
        <v>46049</v>
      </c>
      <c r="J332" s="55">
        <f t="shared" si="5"/>
        <v>18673813.63901367</v>
      </c>
      <c r="K332" s="55">
        <f>J332/$Q$2</f>
        <v>600377.04977771721</v>
      </c>
    </row>
    <row r="333" spans="1:11" x14ac:dyDescent="0.25">
      <c r="A333" s="28">
        <v>46017</v>
      </c>
      <c r="B333" s="29">
        <v>4529.10009765625</v>
      </c>
      <c r="D333" s="28">
        <v>46050</v>
      </c>
      <c r="E333" s="29">
        <v>3678.59</v>
      </c>
      <c r="I333" s="53">
        <v>46050</v>
      </c>
      <c r="J333" s="55">
        <f t="shared" si="5"/>
        <v>19502413.103237305</v>
      </c>
      <c r="K333" s="55">
        <f>J333/$Q$2</f>
        <v>627017.14115887217</v>
      </c>
    </row>
    <row r="334" spans="1:11" x14ac:dyDescent="0.25">
      <c r="A334" s="28">
        <v>46020</v>
      </c>
      <c r="B334" s="29">
        <v>4325.10009765625</v>
      </c>
      <c r="D334" s="28">
        <v>46051</v>
      </c>
      <c r="E334" s="29">
        <v>3665.97</v>
      </c>
      <c r="I334" s="53">
        <v>46051</v>
      </c>
      <c r="J334" s="55">
        <f t="shared" si="5"/>
        <v>19497094.489995115</v>
      </c>
      <c r="K334" s="55">
        <f>J334/$Q$2</f>
        <v>626846.14377242594</v>
      </c>
    </row>
    <row r="335" spans="1:11" x14ac:dyDescent="0.25">
      <c r="A335" s="28">
        <v>46021</v>
      </c>
      <c r="B335" s="29">
        <v>4370.10009765625</v>
      </c>
      <c r="D335" s="28">
        <v>46052</v>
      </c>
      <c r="E335" s="29">
        <v>3661.29</v>
      </c>
      <c r="I335" s="53">
        <v>46052</v>
      </c>
      <c r="J335" s="55">
        <f t="shared" si="5"/>
        <v>17258954.573452149</v>
      </c>
      <c r="K335" s="55">
        <f>J335/$Q$2</f>
        <v>554888.27453052287</v>
      </c>
    </row>
    <row r="336" spans="1:11" x14ac:dyDescent="0.25">
      <c r="A336" s="28">
        <v>46022</v>
      </c>
      <c r="B336" s="29">
        <v>4325.60009765625</v>
      </c>
      <c r="D336" s="28">
        <v>46053</v>
      </c>
      <c r="E336" s="29">
        <v>3670.47</v>
      </c>
      <c r="I336" s="53"/>
      <c r="J336" s="55"/>
      <c r="K336" s="55"/>
    </row>
    <row r="337" spans="1:11" x14ac:dyDescent="0.25">
      <c r="A337" s="28">
        <v>46024</v>
      </c>
      <c r="B337" s="29">
        <v>4314.39990234375</v>
      </c>
      <c r="D337" s="28">
        <v>46056</v>
      </c>
      <c r="E337" s="29">
        <v>3628.16</v>
      </c>
      <c r="I337" s="53">
        <v>46056</v>
      </c>
      <c r="J337" s="55">
        <f t="shared" si="5"/>
        <v>17791408.900624998</v>
      </c>
      <c r="K337" s="55">
        <f>J337/$Q$2</f>
        <v>572007.07866282645</v>
      </c>
    </row>
    <row r="338" spans="1:11" x14ac:dyDescent="0.25">
      <c r="A338" s="28">
        <v>46027</v>
      </c>
      <c r="B338" s="29">
        <v>4436.89990234375</v>
      </c>
      <c r="D338" s="28">
        <v>46057</v>
      </c>
      <c r="E338" s="29">
        <v>3622</v>
      </c>
      <c r="I338" s="53">
        <v>46057</v>
      </c>
      <c r="J338" s="55">
        <f t="shared" si="5"/>
        <v>17821688.446289063</v>
      </c>
      <c r="K338" s="55">
        <f>J338/$Q$2</f>
        <v>572980.588661685</v>
      </c>
    </row>
    <row r="339" spans="1:11" x14ac:dyDescent="0.25">
      <c r="A339" s="28">
        <v>46028</v>
      </c>
      <c r="B339" s="29">
        <v>4482.2001953125</v>
      </c>
      <c r="D339" s="28">
        <v>46058</v>
      </c>
      <c r="E339" s="29">
        <v>3644.93</v>
      </c>
      <c r="I339" s="53">
        <v>46058</v>
      </c>
      <c r="J339" s="55">
        <f t="shared" si="5"/>
        <v>17719462.346049804</v>
      </c>
      <c r="K339" s="55">
        <f>J339/$Q$2</f>
        <v>569693.9432201935</v>
      </c>
    </row>
    <row r="340" spans="1:11" x14ac:dyDescent="0.25">
      <c r="A340" s="28">
        <v>46029</v>
      </c>
      <c r="B340" s="29">
        <v>4449.2998046875</v>
      </c>
      <c r="D340" s="28">
        <v>46059</v>
      </c>
      <c r="E340" s="29">
        <v>3691.75</v>
      </c>
      <c r="I340" s="53">
        <v>46059</v>
      </c>
      <c r="J340" s="55">
        <f t="shared" si="5"/>
        <v>18278593.321044922</v>
      </c>
      <c r="K340" s="55">
        <f>J340/$Q$2</f>
        <v>587670.42149593134</v>
      </c>
    </row>
    <row r="341" spans="1:11" x14ac:dyDescent="0.25">
      <c r="A341" s="28">
        <v>46030</v>
      </c>
      <c r="B341" s="29">
        <v>4449.7001953125</v>
      </c>
      <c r="D341" s="28">
        <v>46060</v>
      </c>
      <c r="E341" s="29">
        <v>3670.2</v>
      </c>
      <c r="I341" s="53"/>
      <c r="J341" s="55"/>
      <c r="K341" s="55"/>
    </row>
    <row r="342" spans="1:11" x14ac:dyDescent="0.25">
      <c r="A342" s="28">
        <v>46031</v>
      </c>
      <c r="B342" s="29">
        <v>4490.2998046875</v>
      </c>
      <c r="D342" s="28">
        <v>46063</v>
      </c>
      <c r="E342" s="29">
        <v>3651.9</v>
      </c>
      <c r="I342" s="53">
        <v>46063</v>
      </c>
      <c r="J342" s="55">
        <f t="shared" si="5"/>
        <v>18273376.506738283</v>
      </c>
      <c r="K342" s="55">
        <f>J342/$Q$2</f>
        <v>587502.69702126295</v>
      </c>
    </row>
    <row r="343" spans="1:11" x14ac:dyDescent="0.25">
      <c r="A343" s="28">
        <v>46034</v>
      </c>
      <c r="B343" s="29">
        <v>4604.2998046875</v>
      </c>
      <c r="D343" s="28">
        <v>46064</v>
      </c>
      <c r="E343" s="29">
        <v>3659.71</v>
      </c>
      <c r="I343" s="53">
        <v>46064</v>
      </c>
      <c r="J343" s="55">
        <f t="shared" si="5"/>
        <v>18560585.593393553</v>
      </c>
      <c r="K343" s="55">
        <f>J343/$Q$2</f>
        <v>596736.68357852369</v>
      </c>
    </row>
    <row r="344" spans="1:11" x14ac:dyDescent="0.25">
      <c r="A344" s="28">
        <v>46035</v>
      </c>
      <c r="B344" s="29">
        <v>4589.2001953125</v>
      </c>
      <c r="D344" s="28">
        <v>46065</v>
      </c>
      <c r="E344" s="29">
        <v>3671.01</v>
      </c>
      <c r="I344" s="53">
        <v>46065</v>
      </c>
      <c r="J344" s="55">
        <f t="shared" si="5"/>
        <v>18074952.653994143</v>
      </c>
      <c r="K344" s="55">
        <f>J344/$Q$2</f>
        <v>581123.22201851546</v>
      </c>
    </row>
    <row r="345" spans="1:11" x14ac:dyDescent="0.25">
      <c r="A345" s="28">
        <v>46036</v>
      </c>
      <c r="B345" s="29">
        <v>4626.2998046875</v>
      </c>
      <c r="D345" s="28">
        <v>46066</v>
      </c>
      <c r="E345" s="29">
        <v>3665.78</v>
      </c>
      <c r="I345" s="53">
        <v>46066</v>
      </c>
      <c r="J345" s="55">
        <f t="shared" si="5"/>
        <v>18409547.16</v>
      </c>
      <c r="K345" s="55">
        <f>J345/$Q$2</f>
        <v>591880.68518436502</v>
      </c>
    </row>
    <row r="346" spans="1:11" x14ac:dyDescent="0.25">
      <c r="A346" s="28">
        <v>46037</v>
      </c>
      <c r="B346" s="29">
        <v>4616.2998046875</v>
      </c>
      <c r="D346" s="28">
        <v>46067</v>
      </c>
      <c r="E346" s="29">
        <v>3652.89</v>
      </c>
      <c r="I346" s="53"/>
      <c r="J346" s="55"/>
      <c r="K346" s="55"/>
    </row>
    <row r="347" spans="1:11" x14ac:dyDescent="0.25">
      <c r="A347" s="28">
        <v>46038</v>
      </c>
      <c r="B347" s="29">
        <v>4588.39990234375</v>
      </c>
      <c r="D347" s="28">
        <v>46071</v>
      </c>
      <c r="E347" s="29">
        <v>3664.26</v>
      </c>
      <c r="I347" s="53">
        <v>46071</v>
      </c>
      <c r="J347" s="55">
        <f t="shared" si="5"/>
        <v>18271832.490000002</v>
      </c>
      <c r="K347" s="55">
        <f>J347/$Q$2</f>
        <v>587453.05573041283</v>
      </c>
    </row>
    <row r="348" spans="1:11" x14ac:dyDescent="0.25">
      <c r="A348" s="28">
        <v>46042</v>
      </c>
      <c r="B348" s="29">
        <v>4759.60009765625</v>
      </c>
      <c r="D348" s="28">
        <v>46072</v>
      </c>
      <c r="E348" s="29">
        <v>3669.21</v>
      </c>
      <c r="I348" s="53">
        <v>46072</v>
      </c>
      <c r="J348" s="55">
        <f t="shared" si="5"/>
        <v>18257621.68067871</v>
      </c>
      <c r="K348" s="55">
        <f>J348/$Q$2</f>
        <v>586996.16760138888</v>
      </c>
    </row>
    <row r="349" spans="1:11" x14ac:dyDescent="0.25">
      <c r="A349" s="28">
        <v>46043</v>
      </c>
      <c r="B349" s="29">
        <v>4831.7998046875</v>
      </c>
      <c r="D349" s="28">
        <v>46073</v>
      </c>
      <c r="E349" s="29">
        <v>3695.72</v>
      </c>
      <c r="I349" s="53">
        <v>46073</v>
      </c>
      <c r="J349" s="55">
        <f t="shared" si="5"/>
        <v>18697755.474179685</v>
      </c>
      <c r="K349" s="55">
        <f>J349/$Q$2</f>
        <v>601146.79765252757</v>
      </c>
    </row>
    <row r="350" spans="1:11" x14ac:dyDescent="0.25">
      <c r="A350" s="28">
        <v>46044</v>
      </c>
      <c r="B350" s="29">
        <v>4908.7998046875</v>
      </c>
      <c r="D350" s="28">
        <v>46074</v>
      </c>
      <c r="E350" s="29">
        <v>3691.34</v>
      </c>
      <c r="I350" s="53"/>
      <c r="J350" s="55"/>
      <c r="K350" s="55"/>
    </row>
    <row r="351" spans="1:11" x14ac:dyDescent="0.25">
      <c r="A351" s="28">
        <v>46045</v>
      </c>
      <c r="B351" s="29">
        <v>4976.2001953125</v>
      </c>
      <c r="D351" s="28">
        <v>46077</v>
      </c>
      <c r="E351" s="29">
        <v>3697.36</v>
      </c>
      <c r="I351" s="53">
        <v>46077</v>
      </c>
      <c r="J351" s="55">
        <f t="shared" si="5"/>
        <v>19062847.965859376</v>
      </c>
      <c r="K351" s="55">
        <f>J351/$Q$2</f>
        <v>612884.79382663022</v>
      </c>
    </row>
    <row r="352" spans="1:11" x14ac:dyDescent="0.25">
      <c r="A352" s="28">
        <v>46048</v>
      </c>
      <c r="B352" s="29">
        <v>5079.7001953125</v>
      </c>
      <c r="D352" s="28">
        <v>46078</v>
      </c>
      <c r="E352" s="29">
        <v>3703.28</v>
      </c>
      <c r="I352" s="53">
        <v>46078</v>
      </c>
      <c r="J352" s="55">
        <f t="shared" si="5"/>
        <v>19280756.630351562</v>
      </c>
      <c r="K352" s="55">
        <f>J352/$Q$2</f>
        <v>619890.72007382673</v>
      </c>
    </row>
    <row r="353" spans="1:11" x14ac:dyDescent="0.25">
      <c r="A353" s="28">
        <v>46049</v>
      </c>
      <c r="B353" s="29">
        <v>5079.89990234375</v>
      </c>
      <c r="D353" s="28">
        <v>46079</v>
      </c>
      <c r="E353" s="29">
        <v>3703.69</v>
      </c>
      <c r="I353" s="53">
        <v>46079</v>
      </c>
      <c r="J353" s="55">
        <f t="shared" si="5"/>
        <v>19172151.285</v>
      </c>
      <c r="K353" s="55">
        <f>J353/$Q$2</f>
        <v>616398.97713943035</v>
      </c>
    </row>
    <row r="354" spans="1:11" x14ac:dyDescent="0.25">
      <c r="A354" s="28">
        <v>46050</v>
      </c>
      <c r="B354" s="29">
        <v>5301.60009765625</v>
      </c>
      <c r="D354" s="28">
        <v>46080</v>
      </c>
      <c r="E354" s="29">
        <v>3745.78</v>
      </c>
      <c r="I354" s="53">
        <v>46080</v>
      </c>
      <c r="J354" s="55">
        <f t="shared" si="5"/>
        <v>19592302.290000003</v>
      </c>
      <c r="K354" s="55">
        <f>J354/$Q$2</f>
        <v>629907.14562173968</v>
      </c>
    </row>
    <row r="355" spans="1:11" x14ac:dyDescent="0.25">
      <c r="A355" s="28">
        <v>46051</v>
      </c>
      <c r="B355" s="29">
        <v>5318.39990234375</v>
      </c>
      <c r="D355" s="28">
        <v>46081</v>
      </c>
      <c r="E355" s="29">
        <v>3766.3</v>
      </c>
      <c r="I355" s="53"/>
      <c r="J355" s="55"/>
      <c r="K355" s="55"/>
    </row>
    <row r="356" spans="1:11" x14ac:dyDescent="0.25">
      <c r="A356" s="28">
        <v>46052</v>
      </c>
      <c r="B356" s="29">
        <v>4713.89990234375</v>
      </c>
      <c r="D356" s="28">
        <v>46084</v>
      </c>
      <c r="E356" s="29">
        <v>3768.73</v>
      </c>
      <c r="I356" s="53">
        <v>46084</v>
      </c>
      <c r="J356" s="55">
        <f t="shared" si="5"/>
        <v>19248411.233959962</v>
      </c>
      <c r="K356" s="55">
        <f>J356/$Q$2</f>
        <v>618850.79143177858</v>
      </c>
    </row>
    <row r="357" spans="1:11" x14ac:dyDescent="0.25">
      <c r="A357" s="28">
        <v>46055</v>
      </c>
      <c r="B357" s="29">
        <v>4622.5</v>
      </c>
      <c r="D357" s="28">
        <v>46085</v>
      </c>
      <c r="E357" s="29">
        <v>3797.64</v>
      </c>
      <c r="I357" s="53">
        <v>46085</v>
      </c>
      <c r="J357" s="55">
        <f t="shared" si="5"/>
        <v>19444677.06972656</v>
      </c>
      <c r="K357" s="55">
        <f>J357/$Q$2</f>
        <v>625160.88457759039</v>
      </c>
    </row>
    <row r="358" spans="1:11" x14ac:dyDescent="0.25">
      <c r="A358" s="28">
        <v>46056</v>
      </c>
      <c r="B358" s="29">
        <v>4903.7001953125</v>
      </c>
      <c r="D358" s="28">
        <v>46086</v>
      </c>
      <c r="E358" s="29">
        <v>3751.41</v>
      </c>
      <c r="I358" s="53">
        <v>46086</v>
      </c>
      <c r="J358" s="55">
        <f t="shared" si="5"/>
        <v>19002016.340302732</v>
      </c>
      <c r="K358" s="55">
        <f>J358/$Q$2</f>
        <v>610929.01165000093</v>
      </c>
    </row>
    <row r="359" spans="1:11" x14ac:dyDescent="0.25">
      <c r="A359" s="28">
        <v>46057</v>
      </c>
      <c r="B359" s="29">
        <v>4920.39990234375</v>
      </c>
      <c r="D359" s="28">
        <v>46087</v>
      </c>
      <c r="E359" s="29">
        <v>3767.94</v>
      </c>
      <c r="I359" s="53">
        <v>46087</v>
      </c>
      <c r="J359" s="55">
        <f t="shared" si="5"/>
        <v>19390196.401962891</v>
      </c>
      <c r="K359" s="55">
        <f>J359/$Q$2</f>
        <v>623409.29043543106</v>
      </c>
    </row>
    <row r="360" spans="1:11" x14ac:dyDescent="0.25">
      <c r="A360" s="28">
        <v>46058</v>
      </c>
      <c r="B360" s="29">
        <v>4861.39990234375</v>
      </c>
      <c r="D360" s="28">
        <v>46088</v>
      </c>
      <c r="E360" s="29">
        <v>3795.55</v>
      </c>
      <c r="I360" s="53"/>
      <c r="J360" s="55"/>
      <c r="K360" s="55"/>
    </row>
    <row r="361" spans="1:11" x14ac:dyDescent="0.25">
      <c r="A361" s="28">
        <v>46059</v>
      </c>
      <c r="B361" s="29">
        <v>4951.2001953125</v>
      </c>
      <c r="D361" s="28">
        <v>46091</v>
      </c>
      <c r="E361" s="29">
        <v>3744.84</v>
      </c>
      <c r="I361" s="53">
        <v>46091</v>
      </c>
      <c r="J361" s="55">
        <f t="shared" si="5"/>
        <v>19584390.479414064</v>
      </c>
      <c r="K361" s="55">
        <f>J361/$Q$2</f>
        <v>629652.77500469226</v>
      </c>
    </row>
    <row r="362" spans="1:11" x14ac:dyDescent="0.25">
      <c r="A362" s="28">
        <v>46062</v>
      </c>
      <c r="B362" s="29">
        <v>5050.89990234375</v>
      </c>
      <c r="D362" s="28">
        <v>46092</v>
      </c>
      <c r="E362" s="29">
        <v>3710.5</v>
      </c>
      <c r="I362" s="53">
        <v>46092</v>
      </c>
      <c r="J362" s="55">
        <f t="shared" si="5"/>
        <v>19173637.337646484</v>
      </c>
      <c r="K362" s="55">
        <f>J362/$Q$2</f>
        <v>616446.75484145503</v>
      </c>
    </row>
    <row r="363" spans="1:11" x14ac:dyDescent="0.25">
      <c r="A363" s="28">
        <v>46063</v>
      </c>
      <c r="B363" s="29">
        <v>5003.7998046875</v>
      </c>
      <c r="D363" s="28">
        <v>46093</v>
      </c>
      <c r="E363" s="29">
        <v>3687.87</v>
      </c>
      <c r="I363" s="53">
        <v>46093</v>
      </c>
      <c r="J363" s="55">
        <f t="shared" si="5"/>
        <v>18866404.62571289</v>
      </c>
      <c r="K363" s="55">
        <f>J363/$Q$2</f>
        <v>606568.99378248584</v>
      </c>
    </row>
    <row r="364" spans="1:11" x14ac:dyDescent="0.25">
      <c r="A364" s="28">
        <v>46064</v>
      </c>
      <c r="B364" s="29">
        <v>5071.60009765625</v>
      </c>
      <c r="D364" s="28">
        <v>46094</v>
      </c>
      <c r="E364" s="29">
        <v>3700.46</v>
      </c>
      <c r="I364" s="53">
        <v>46094</v>
      </c>
      <c r="J364" s="55">
        <f t="shared" si="5"/>
        <v>18696574.149999999</v>
      </c>
      <c r="K364" s="55">
        <f>J364/$Q$2</f>
        <v>601108.81719821109</v>
      </c>
    </row>
    <row r="365" spans="1:11" x14ac:dyDescent="0.25">
      <c r="A365" s="28">
        <v>46065</v>
      </c>
      <c r="B365" s="29">
        <v>4923.7001953125</v>
      </c>
      <c r="D365" s="28">
        <v>46095</v>
      </c>
      <c r="E365" s="29">
        <v>3685.53</v>
      </c>
      <c r="I365" s="53"/>
      <c r="J365" s="55"/>
      <c r="K365" s="55"/>
    </row>
    <row r="366" spans="1:11" x14ac:dyDescent="0.25">
      <c r="A366" s="28">
        <v>46066</v>
      </c>
      <c r="B366" s="29">
        <v>5022</v>
      </c>
      <c r="D366" s="28">
        <v>46098</v>
      </c>
      <c r="E366" s="29">
        <v>3691.9</v>
      </c>
      <c r="I366" s="53">
        <v>46098</v>
      </c>
      <c r="J366" s="55">
        <f t="shared" si="5"/>
        <v>18463191.900000002</v>
      </c>
      <c r="K366" s="55">
        <f>J366/$Q$2</f>
        <v>593605.40362484497</v>
      </c>
    </row>
    <row r="367" spans="1:11" x14ac:dyDescent="0.25">
      <c r="A367" s="28">
        <v>46070</v>
      </c>
      <c r="B367" s="29">
        <v>4882.89990234375</v>
      </c>
      <c r="D367" s="28">
        <v>46099</v>
      </c>
      <c r="E367" s="29">
        <v>3689.97</v>
      </c>
      <c r="I367" s="53">
        <v>46099</v>
      </c>
      <c r="J367" s="55">
        <f t="shared" si="5"/>
        <v>18043583.942651365</v>
      </c>
      <c r="K367" s="55">
        <f>J367/$Q$2</f>
        <v>580114.69452994934</v>
      </c>
    </row>
    <row r="368" spans="1:11" x14ac:dyDescent="0.25">
      <c r="A368" s="28">
        <v>46071</v>
      </c>
      <c r="B368" s="29">
        <v>4986.5</v>
      </c>
      <c r="D368" s="28">
        <v>46100</v>
      </c>
      <c r="E368" s="29">
        <v>3704.17</v>
      </c>
      <c r="I368" s="53">
        <v>46100</v>
      </c>
      <c r="J368" s="55">
        <f t="shared" si="5"/>
        <v>17041775.642470703</v>
      </c>
      <c r="K368" s="55">
        <f>J368/$Q$2</f>
        <v>547905.80976049288</v>
      </c>
    </row>
    <row r="369" spans="1:11" x14ac:dyDescent="0.25">
      <c r="A369" s="28">
        <v>46072</v>
      </c>
      <c r="B369" s="29">
        <v>4975.89990234375</v>
      </c>
      <c r="D369" s="28">
        <v>46101</v>
      </c>
      <c r="E369" s="29">
        <v>3692.48</v>
      </c>
      <c r="I369" s="53">
        <v>46101</v>
      </c>
      <c r="J369" s="55">
        <f t="shared" si="5"/>
        <v>16876110.231406249</v>
      </c>
      <c r="K369" s="55">
        <f>J369/$Q$2</f>
        <v>542579.54311417206</v>
      </c>
    </row>
    <row r="370" spans="1:11" x14ac:dyDescent="0.25">
      <c r="A370" s="28">
        <v>46073</v>
      </c>
      <c r="B370" s="29">
        <v>5059.2998046875</v>
      </c>
      <c r="D370" s="28">
        <v>46102</v>
      </c>
      <c r="E370" s="29">
        <v>3704.87</v>
      </c>
      <c r="I370" s="53"/>
      <c r="J370" s="55"/>
      <c r="K370" s="55"/>
    </row>
    <row r="371" spans="1:11" x14ac:dyDescent="0.25">
      <c r="A371" s="28">
        <v>46076</v>
      </c>
      <c r="B371" s="29">
        <v>5204.7001953125</v>
      </c>
      <c r="D371" s="28">
        <v>46106</v>
      </c>
      <c r="E371" s="29">
        <v>3700.67</v>
      </c>
      <c r="I371" s="53">
        <v>46106</v>
      </c>
      <c r="J371" s="55">
        <f t="shared" si="5"/>
        <v>16837307.643212892</v>
      </c>
      <c r="K371" s="55">
        <f>J371/$Q$2</f>
        <v>541332.01093496056</v>
      </c>
    </row>
    <row r="372" spans="1:11" x14ac:dyDescent="0.25">
      <c r="A372" s="28">
        <v>46077</v>
      </c>
      <c r="B372" s="29">
        <v>5155.7998046875</v>
      </c>
      <c r="D372" s="28">
        <v>46107</v>
      </c>
      <c r="E372" s="29">
        <v>3688.46</v>
      </c>
      <c r="I372" s="53">
        <v>46107</v>
      </c>
      <c r="J372" s="55">
        <f t="shared" si="5"/>
        <v>16138856.73</v>
      </c>
      <c r="K372" s="55">
        <f>J372/$Q$2</f>
        <v>518876.29263362614</v>
      </c>
    </row>
    <row r="373" spans="1:11" x14ac:dyDescent="0.25">
      <c r="A373" s="28">
        <v>46078</v>
      </c>
      <c r="B373" s="29">
        <v>5206.39990234375</v>
      </c>
      <c r="D373" s="28">
        <v>46108</v>
      </c>
      <c r="E373" s="29">
        <v>3675.29</v>
      </c>
      <c r="I373" s="53">
        <v>46108</v>
      </c>
      <c r="J373" s="55">
        <f t="shared" si="5"/>
        <v>16509402.68</v>
      </c>
      <c r="K373" s="55">
        <f>J373/$Q$2</f>
        <v>530789.6215641076</v>
      </c>
    </row>
    <row r="374" spans="1:11" x14ac:dyDescent="0.25">
      <c r="A374" s="28">
        <v>46079</v>
      </c>
      <c r="B374" s="29">
        <v>5176.5</v>
      </c>
      <c r="D374" s="28">
        <v>46109</v>
      </c>
      <c r="E374" s="29">
        <v>3668.89</v>
      </c>
      <c r="I374" s="53"/>
      <c r="J374" s="55"/>
      <c r="K374" s="55"/>
    </row>
    <row r="375" spans="1:11" x14ac:dyDescent="0.25">
      <c r="A375" s="28">
        <v>46080</v>
      </c>
      <c r="B375" s="29">
        <v>5230.5</v>
      </c>
      <c r="D375" s="28">
        <v>46112</v>
      </c>
      <c r="E375" s="29">
        <v>3669.96</v>
      </c>
      <c r="I375" s="53">
        <v>46112</v>
      </c>
      <c r="J375" s="55">
        <f t="shared" si="5"/>
        <v>17056506.454394531</v>
      </c>
      <c r="K375" s="55">
        <f>J375/$Q$2</f>
        <v>548379.41636140598</v>
      </c>
    </row>
    <row r="376" spans="1:11" x14ac:dyDescent="0.25">
      <c r="A376" s="28">
        <v>46083</v>
      </c>
      <c r="B376" s="29">
        <v>5294.39990234375</v>
      </c>
      <c r="D376" s="28">
        <v>46113</v>
      </c>
      <c r="E376" s="29">
        <v>3660.1</v>
      </c>
      <c r="I376" s="53">
        <v>46113</v>
      </c>
      <c r="J376" s="55">
        <f t="shared" si="5"/>
        <v>17506991.034863282</v>
      </c>
      <c r="K376" s="55">
        <f>J376/$Q$2</f>
        <v>562862.8319411315</v>
      </c>
    </row>
    <row r="377" spans="1:11" x14ac:dyDescent="0.25">
      <c r="A377" s="28">
        <v>46084</v>
      </c>
      <c r="B377" s="29">
        <v>5107.39990234375</v>
      </c>
      <c r="D377" s="28">
        <v>46114</v>
      </c>
      <c r="E377" s="29">
        <v>3675.81</v>
      </c>
      <c r="I377" s="53">
        <v>46114</v>
      </c>
      <c r="J377" s="55">
        <f t="shared" si="5"/>
        <v>17098030.215</v>
      </c>
      <c r="K377" s="55">
        <f>J377/$Q$2</f>
        <v>549714.43626520876</v>
      </c>
    </row>
    <row r="378" spans="1:11" x14ac:dyDescent="0.25">
      <c r="A378" s="28">
        <v>46085</v>
      </c>
      <c r="B378" s="29">
        <v>5120.2001953125</v>
      </c>
      <c r="D378" s="28">
        <v>46119</v>
      </c>
      <c r="E378" s="29">
        <v>3664.41</v>
      </c>
      <c r="I378" s="53">
        <v>46119</v>
      </c>
      <c r="J378" s="55">
        <f t="shared" si="5"/>
        <v>17065524.168852538</v>
      </c>
      <c r="K378" s="55">
        <f>J378/$Q$2</f>
        <v>548669.34261357365</v>
      </c>
    </row>
    <row r="379" spans="1:11" x14ac:dyDescent="0.25">
      <c r="A379" s="28">
        <v>46086</v>
      </c>
      <c r="B379" s="29">
        <v>5065.2998046875</v>
      </c>
      <c r="D379" s="28">
        <v>46120</v>
      </c>
      <c r="E379" s="29">
        <v>3678.19</v>
      </c>
      <c r="I379" s="53">
        <v>46120</v>
      </c>
      <c r="J379" s="55">
        <f t="shared" si="5"/>
        <v>17469563.405000001</v>
      </c>
      <c r="K379" s="55">
        <f>J379/$Q$2</f>
        <v>561659.5056987328</v>
      </c>
    </row>
    <row r="380" spans="1:11" x14ac:dyDescent="0.25">
      <c r="A380" s="28">
        <v>46087</v>
      </c>
      <c r="B380" s="29">
        <v>5146.10009765625</v>
      </c>
      <c r="D380" s="28">
        <v>46121</v>
      </c>
      <c r="E380" s="29">
        <v>3640.63</v>
      </c>
      <c r="I380" s="53">
        <v>46121</v>
      </c>
      <c r="J380" s="55">
        <f t="shared" si="5"/>
        <v>17446627.797060549</v>
      </c>
      <c r="K380" s="55">
        <f>J380/$Q$2</f>
        <v>560922.10878047405</v>
      </c>
    </row>
    <row r="381" spans="1:11" x14ac:dyDescent="0.25">
      <c r="A381" s="28">
        <v>46090</v>
      </c>
      <c r="B381" s="29">
        <v>5091.5</v>
      </c>
      <c r="D381" s="28">
        <v>46122</v>
      </c>
      <c r="E381" s="29">
        <v>3642.93</v>
      </c>
      <c r="I381" s="53">
        <v>46122</v>
      </c>
      <c r="J381" s="55">
        <f t="shared" si="5"/>
        <v>17347268.011245117</v>
      </c>
      <c r="K381" s="55">
        <f>J381/$Q$2</f>
        <v>557727.61748760892</v>
      </c>
    </row>
    <row r="382" spans="1:11" x14ac:dyDescent="0.25">
      <c r="A382" s="28">
        <v>46091</v>
      </c>
      <c r="B382" s="29">
        <v>5229.7001953125</v>
      </c>
      <c r="D382" s="28">
        <v>46123</v>
      </c>
      <c r="E382" s="29">
        <v>3631.49</v>
      </c>
      <c r="I382" s="53"/>
      <c r="J382" s="55"/>
      <c r="K382" s="55"/>
    </row>
    <row r="383" spans="1:11" x14ac:dyDescent="0.25">
      <c r="A383" s="28">
        <v>46092</v>
      </c>
      <c r="B383" s="29">
        <v>5167.39990234375</v>
      </c>
      <c r="D383" s="28">
        <v>46126</v>
      </c>
      <c r="E383" s="29">
        <v>3608.1</v>
      </c>
      <c r="I383" s="53">
        <v>46126</v>
      </c>
      <c r="J383" s="55">
        <f t="shared" si="5"/>
        <v>17409082.5</v>
      </c>
      <c r="K383" s="55">
        <f>J383/$Q$2</f>
        <v>559714.99944983644</v>
      </c>
    </row>
    <row r="384" spans="1:11" x14ac:dyDescent="0.25">
      <c r="A384" s="28">
        <v>46093</v>
      </c>
      <c r="B384" s="29">
        <v>5115.7998046875</v>
      </c>
      <c r="D384" s="28">
        <v>46127</v>
      </c>
      <c r="E384" s="29">
        <v>3578.82</v>
      </c>
      <c r="I384" s="53">
        <v>46127</v>
      </c>
      <c r="J384" s="55">
        <f t="shared" si="5"/>
        <v>17178336</v>
      </c>
      <c r="K384" s="55">
        <f>J384/$Q$2</f>
        <v>552296.32720673853</v>
      </c>
    </row>
    <row r="385" spans="1:11" x14ac:dyDescent="0.25">
      <c r="A385" s="28">
        <v>46094</v>
      </c>
      <c r="B385" s="29">
        <v>5052.5</v>
      </c>
      <c r="D385" s="28">
        <v>46128</v>
      </c>
      <c r="E385" s="29">
        <v>3603.19</v>
      </c>
      <c r="I385" s="53">
        <v>46128</v>
      </c>
      <c r="J385" s="55">
        <f t="shared" si="5"/>
        <v>17242705.074125975</v>
      </c>
      <c r="K385" s="55">
        <f>J385/$Q$2</f>
        <v>554365.84099582001</v>
      </c>
    </row>
    <row r="386" spans="1:11" x14ac:dyDescent="0.25">
      <c r="A386" s="28">
        <v>46097</v>
      </c>
      <c r="B386" s="29">
        <v>4994</v>
      </c>
      <c r="D386" s="28">
        <v>46129</v>
      </c>
      <c r="E386" s="29">
        <v>3615.1</v>
      </c>
      <c r="I386" s="53">
        <v>46129</v>
      </c>
      <c r="J386" s="55">
        <f t="shared" si="5"/>
        <v>17560710.113037109</v>
      </c>
      <c r="K386" s="55">
        <f>J386/$Q$2</f>
        <v>564589.94040939852</v>
      </c>
    </row>
    <row r="387" spans="1:11" x14ac:dyDescent="0.25">
      <c r="A387" s="28">
        <v>46098</v>
      </c>
      <c r="B387" s="29">
        <v>5001</v>
      </c>
      <c r="D387" s="28">
        <v>46130</v>
      </c>
      <c r="E387" s="29">
        <v>3593.14</v>
      </c>
      <c r="I387" s="53"/>
      <c r="J387" s="55"/>
      <c r="K387" s="55"/>
    </row>
    <row r="388" spans="1:11" x14ac:dyDescent="0.25">
      <c r="A388" s="28">
        <v>46099</v>
      </c>
      <c r="B388" s="29">
        <v>4889.89990234375</v>
      </c>
      <c r="D388" s="28">
        <v>46133</v>
      </c>
      <c r="E388" s="29">
        <v>3573.3</v>
      </c>
      <c r="I388" s="53">
        <v>46133</v>
      </c>
      <c r="J388" s="55">
        <f t="shared" ref="J387:J450" si="6">E388*_xlfn.XLOOKUP(I388,$A$2:$A$504,$B$2:$B$504)</f>
        <v>16788792.371044923</v>
      </c>
      <c r="K388" s="55">
        <f>J388/$Q$2</f>
        <v>539772.20871478016</v>
      </c>
    </row>
    <row r="389" spans="1:11" x14ac:dyDescent="0.25">
      <c r="A389" s="28">
        <v>46100</v>
      </c>
      <c r="B389" s="29">
        <v>4600.7001953125</v>
      </c>
      <c r="D389" s="28">
        <v>46134</v>
      </c>
      <c r="E389" s="29">
        <v>3576.05</v>
      </c>
      <c r="I389" s="53">
        <v>46134</v>
      </c>
      <c r="J389" s="55">
        <f t="shared" si="6"/>
        <v>16923656.625</v>
      </c>
      <c r="K389" s="55">
        <f>J389/$Q$2</f>
        <v>544108.19516485697</v>
      </c>
    </row>
    <row r="390" spans="1:11" x14ac:dyDescent="0.25">
      <c r="A390" s="28">
        <v>46101</v>
      </c>
      <c r="B390" s="29">
        <v>4570.39990234375</v>
      </c>
      <c r="D390" s="28">
        <v>46135</v>
      </c>
      <c r="E390" s="29">
        <v>3568.88</v>
      </c>
      <c r="I390" s="53">
        <v>46135</v>
      </c>
      <c r="J390" s="55">
        <f t="shared" si="6"/>
        <v>16791937.636523437</v>
      </c>
      <c r="K390" s="55">
        <f>J390/$Q$2</f>
        <v>539873.33134807099</v>
      </c>
    </row>
    <row r="391" spans="1:11" x14ac:dyDescent="0.25">
      <c r="A391" s="28">
        <v>46104</v>
      </c>
      <c r="B391" s="29">
        <v>4404.10009765625</v>
      </c>
      <c r="D391" s="28">
        <v>46136</v>
      </c>
      <c r="E391" s="29">
        <v>3560.62</v>
      </c>
      <c r="I391" s="53">
        <v>46136</v>
      </c>
      <c r="J391" s="55">
        <f t="shared" si="6"/>
        <v>16814315.130566407</v>
      </c>
      <c r="K391" s="55">
        <f>J391/$Q$2</f>
        <v>540592.7844878874</v>
      </c>
    </row>
    <row r="392" spans="1:11" x14ac:dyDescent="0.25">
      <c r="A392" s="28">
        <v>46105</v>
      </c>
      <c r="B392" s="29">
        <v>4399.2998046875</v>
      </c>
      <c r="D392" s="28">
        <v>46137</v>
      </c>
      <c r="E392" s="29">
        <v>3551.17</v>
      </c>
      <c r="I392" s="53"/>
      <c r="J392" s="55"/>
      <c r="K392" s="55"/>
    </row>
    <row r="393" spans="1:11" x14ac:dyDescent="0.25">
      <c r="A393" s="28">
        <v>46106</v>
      </c>
      <c r="B393" s="29">
        <v>4549.7998046875</v>
      </c>
      <c r="D393" s="28">
        <v>46140</v>
      </c>
      <c r="E393" s="29">
        <v>3593.17</v>
      </c>
      <c r="I393" s="53">
        <v>46140</v>
      </c>
      <c r="J393" s="55">
        <f t="shared" si="6"/>
        <v>16498040.055</v>
      </c>
      <c r="K393" s="55">
        <f>J393/$Q$2</f>
        <v>530424.30468737823</v>
      </c>
    </row>
    <row r="394" spans="1:11" x14ac:dyDescent="0.25">
      <c r="A394" s="28">
        <v>46107</v>
      </c>
      <c r="B394" s="29">
        <v>4375.5</v>
      </c>
      <c r="D394" s="28">
        <v>46141</v>
      </c>
      <c r="E394" s="29">
        <v>3633.76</v>
      </c>
      <c r="I394" s="53">
        <v>46141</v>
      </c>
      <c r="J394" s="55">
        <f t="shared" si="6"/>
        <v>16516166.66171875</v>
      </c>
      <c r="K394" s="55">
        <f>J394/$Q$2</f>
        <v>531007.08862614201</v>
      </c>
    </row>
    <row r="395" spans="1:11" x14ac:dyDescent="0.25">
      <c r="A395" s="28">
        <v>46108</v>
      </c>
      <c r="B395" s="29">
        <v>4492</v>
      </c>
      <c r="D395" s="28">
        <v>46142</v>
      </c>
      <c r="E395" s="29">
        <v>3621.86</v>
      </c>
      <c r="I395" s="53">
        <v>46142</v>
      </c>
      <c r="J395" s="55">
        <f t="shared" si="6"/>
        <v>16713798.049394531</v>
      </c>
      <c r="K395" s="55">
        <f>J395/$Q$2</f>
        <v>537361.08528531226</v>
      </c>
    </row>
    <row r="396" spans="1:11" x14ac:dyDescent="0.25">
      <c r="A396" s="28">
        <v>46111</v>
      </c>
      <c r="B396" s="29">
        <v>4526</v>
      </c>
      <c r="D396" s="28">
        <v>46143</v>
      </c>
      <c r="E396" s="29">
        <v>3637.51</v>
      </c>
      <c r="I396" s="53">
        <v>46143</v>
      </c>
      <c r="J396" s="55">
        <f t="shared" si="6"/>
        <v>16841307.193774413</v>
      </c>
      <c r="K396" s="55">
        <f>J396/$Q$2</f>
        <v>541460.59947145241</v>
      </c>
    </row>
    <row r="397" spans="1:11" x14ac:dyDescent="0.25">
      <c r="A397" s="28">
        <v>46112</v>
      </c>
      <c r="B397" s="29">
        <v>4647.60009765625</v>
      </c>
      <c r="D397" s="28">
        <v>46147</v>
      </c>
      <c r="E397" s="29">
        <v>3707.58</v>
      </c>
      <c r="I397" s="53">
        <v>46147</v>
      </c>
      <c r="J397" s="55">
        <f t="shared" si="6"/>
        <v>16890992.23986328</v>
      </c>
      <c r="K397" s="55">
        <f>J397/$Q$2</f>
        <v>543058.01079650619</v>
      </c>
    </row>
    <row r="398" spans="1:11" x14ac:dyDescent="0.25">
      <c r="A398" s="28">
        <v>46113</v>
      </c>
      <c r="B398" s="29">
        <v>4783.2001953125</v>
      </c>
      <c r="D398" s="28">
        <v>46148</v>
      </c>
      <c r="E398" s="29">
        <v>3723.33</v>
      </c>
      <c r="I398" s="53">
        <v>46148</v>
      </c>
      <c r="J398" s="55">
        <f t="shared" si="6"/>
        <v>17432258.363393553</v>
      </c>
      <c r="K398" s="55">
        <f>J398/$Q$2</f>
        <v>560460.12076031172</v>
      </c>
    </row>
    <row r="399" spans="1:11" x14ac:dyDescent="0.25">
      <c r="A399" s="28">
        <v>46114</v>
      </c>
      <c r="B399" s="29">
        <v>4651.5</v>
      </c>
      <c r="D399" s="28">
        <v>46149</v>
      </c>
      <c r="E399" s="29">
        <v>3706.44</v>
      </c>
      <c r="I399" s="53">
        <v>46149</v>
      </c>
      <c r="J399" s="55">
        <f t="shared" si="6"/>
        <v>17419525.988085937</v>
      </c>
      <c r="K399" s="55">
        <f>J399/$Q$2</f>
        <v>560050.76538857992</v>
      </c>
    </row>
    <row r="400" spans="1:11" x14ac:dyDescent="0.25">
      <c r="A400" s="28">
        <v>46118</v>
      </c>
      <c r="B400" s="29">
        <v>4656.7998046875</v>
      </c>
      <c r="D400" s="28">
        <v>46150</v>
      </c>
      <c r="E400" s="29">
        <v>3729.27</v>
      </c>
      <c r="I400" s="53">
        <v>46150</v>
      </c>
      <c r="J400" s="55">
        <f t="shared" si="6"/>
        <v>17603645.743813477</v>
      </c>
      <c r="K400" s="55">
        <f>J400/$Q$2</f>
        <v>565970.35299325373</v>
      </c>
    </row>
    <row r="401" spans="1:11" x14ac:dyDescent="0.25">
      <c r="A401" s="28">
        <v>46119</v>
      </c>
      <c r="B401" s="29">
        <v>4657.10009765625</v>
      </c>
      <c r="D401" s="28">
        <v>46151</v>
      </c>
      <c r="E401" s="29">
        <v>3747.1</v>
      </c>
      <c r="I401" s="53"/>
      <c r="J401" s="55"/>
      <c r="K401" s="55"/>
    </row>
    <row r="402" spans="1:11" x14ac:dyDescent="0.25">
      <c r="A402" s="28">
        <v>46120</v>
      </c>
      <c r="B402" s="29">
        <v>4749.5</v>
      </c>
      <c r="D402" s="28">
        <v>46154</v>
      </c>
      <c r="E402" s="29">
        <v>3759</v>
      </c>
      <c r="I402" s="53">
        <v>46154</v>
      </c>
      <c r="J402" s="55">
        <f t="shared" si="6"/>
        <v>17583098.767089844</v>
      </c>
      <c r="K402" s="55">
        <f>J402/$Q$2</f>
        <v>565309.75235186063</v>
      </c>
    </row>
    <row r="403" spans="1:11" x14ac:dyDescent="0.25">
      <c r="A403" s="28">
        <v>46121</v>
      </c>
      <c r="B403" s="29">
        <v>4792.2001953125</v>
      </c>
      <c r="D403" s="28">
        <v>46155</v>
      </c>
      <c r="E403" s="29">
        <v>3775.07</v>
      </c>
      <c r="I403" s="53">
        <v>46155</v>
      </c>
      <c r="J403" s="55">
        <f t="shared" si="6"/>
        <v>17734147.076318361</v>
      </c>
      <c r="K403" s="55">
        <f>J403/$Q$2</f>
        <v>570166.06826148648</v>
      </c>
    </row>
    <row r="404" spans="1:11" x14ac:dyDescent="0.25">
      <c r="A404" s="28">
        <v>46122</v>
      </c>
      <c r="B404" s="29">
        <v>4761.89990234375</v>
      </c>
      <c r="D404" s="28">
        <v>46156</v>
      </c>
      <c r="E404" s="29">
        <v>3794.91</v>
      </c>
      <c r="I404" s="53">
        <v>46156</v>
      </c>
      <c r="J404" s="55">
        <f t="shared" si="6"/>
        <v>17752968.841596678</v>
      </c>
      <c r="K404" s="55">
        <f>J404/$Q$2</f>
        <v>570771.20206692384</v>
      </c>
    </row>
    <row r="405" spans="1:11" x14ac:dyDescent="0.25">
      <c r="A405" s="28">
        <v>46125</v>
      </c>
      <c r="B405" s="29">
        <v>4742.39990234375</v>
      </c>
      <c r="D405" s="28">
        <v>46157</v>
      </c>
      <c r="E405" s="29">
        <v>3784.7</v>
      </c>
      <c r="I405" s="53">
        <v>46157</v>
      </c>
      <c r="J405" s="55">
        <f t="shared" si="6"/>
        <v>17242335.520800781</v>
      </c>
      <c r="K405" s="55">
        <f>J405/$Q$2</f>
        <v>554353.95958051807</v>
      </c>
    </row>
    <row r="406" spans="1:11" x14ac:dyDescent="0.25">
      <c r="A406" s="28">
        <v>46126</v>
      </c>
      <c r="B406" s="29">
        <v>4825</v>
      </c>
      <c r="D406" s="28">
        <v>46158</v>
      </c>
      <c r="E406" s="29">
        <v>3796.78</v>
      </c>
      <c r="I406" s="53"/>
      <c r="J406" s="55"/>
      <c r="K406" s="55"/>
    </row>
    <row r="407" spans="1:11" x14ac:dyDescent="0.25">
      <c r="A407" s="28">
        <v>46127</v>
      </c>
      <c r="B407" s="29">
        <v>4800</v>
      </c>
      <c r="D407" s="28">
        <v>46162</v>
      </c>
      <c r="E407" s="29">
        <v>3796.87</v>
      </c>
      <c r="I407" s="53">
        <v>46162</v>
      </c>
      <c r="J407" s="55">
        <f t="shared" si="6"/>
        <v>17204756.289423827</v>
      </c>
      <c r="K407" s="55">
        <f>J407/$Q$2</f>
        <v>553145.75923627382</v>
      </c>
    </row>
    <row r="408" spans="1:11" x14ac:dyDescent="0.25">
      <c r="A408" s="28">
        <v>46128</v>
      </c>
      <c r="B408" s="29">
        <v>4785.39990234375</v>
      </c>
      <c r="D408" s="28">
        <v>46163</v>
      </c>
      <c r="E408" s="29">
        <v>3730.49</v>
      </c>
      <c r="I408" s="53">
        <v>46163</v>
      </c>
      <c r="J408" s="55">
        <f t="shared" si="6"/>
        <v>16935677.773388673</v>
      </c>
      <c r="K408" s="55">
        <f>J408/$Q$2</f>
        <v>544494.68406016508</v>
      </c>
    </row>
    <row r="409" spans="1:11" x14ac:dyDescent="0.25">
      <c r="A409" s="28">
        <v>46129</v>
      </c>
      <c r="B409" s="29">
        <v>4857.60009765625</v>
      </c>
      <c r="D409" s="28">
        <v>46164</v>
      </c>
      <c r="E409" s="29">
        <v>3701.37</v>
      </c>
      <c r="I409" s="53">
        <v>46164</v>
      </c>
      <c r="J409" s="55">
        <f t="shared" si="6"/>
        <v>16733893.77</v>
      </c>
      <c r="K409" s="55">
        <f>J409/$Q$2</f>
        <v>538007.17770561262</v>
      </c>
    </row>
    <row r="410" spans="1:11" x14ac:dyDescent="0.25">
      <c r="A410" s="28">
        <v>46132</v>
      </c>
      <c r="B410" s="29">
        <v>4806.60009765625</v>
      </c>
      <c r="D410" s="28">
        <v>46165</v>
      </c>
      <c r="E410" s="29">
        <v>3667.06</v>
      </c>
      <c r="I410" s="53"/>
      <c r="J410" s="55"/>
      <c r="K410" s="55"/>
    </row>
    <row r="411" spans="1:11" x14ac:dyDescent="0.25">
      <c r="A411" s="28">
        <v>46133</v>
      </c>
      <c r="B411" s="29">
        <v>4698.39990234375</v>
      </c>
      <c r="D411" s="28">
        <v>46169</v>
      </c>
      <c r="E411" s="29">
        <v>3644.47</v>
      </c>
      <c r="I411" s="53">
        <v>46169</v>
      </c>
      <c r="J411" s="55">
        <f t="shared" si="6"/>
        <v>16208780.324999999</v>
      </c>
      <c r="K411" s="55">
        <f>J411/$Q$2</f>
        <v>521124.38841563847</v>
      </c>
    </row>
    <row r="412" spans="1:11" x14ac:dyDescent="0.25">
      <c r="A412" s="28">
        <v>46134</v>
      </c>
      <c r="B412" s="29">
        <v>4732.5</v>
      </c>
      <c r="D412" s="28">
        <v>46170</v>
      </c>
      <c r="E412" s="29">
        <v>3631.57</v>
      </c>
      <c r="I412" s="53">
        <v>46170</v>
      </c>
      <c r="J412" s="55">
        <f t="shared" si="6"/>
        <v>16339522.191708986</v>
      </c>
      <c r="K412" s="55">
        <f>J412/$Q$2</f>
        <v>525327.83703810838</v>
      </c>
    </row>
    <row r="413" spans="1:11" x14ac:dyDescent="0.25">
      <c r="A413" s="28">
        <v>46135</v>
      </c>
      <c r="B413" s="29">
        <v>4705.10009765625</v>
      </c>
      <c r="D413" s="28">
        <v>46171</v>
      </c>
      <c r="E413" s="29">
        <v>3646.58</v>
      </c>
      <c r="I413" s="53">
        <v>46171</v>
      </c>
      <c r="J413" s="55">
        <f t="shared" si="6"/>
        <v>16630228.09</v>
      </c>
      <c r="K413" s="55">
        <f>J413/$Q$2</f>
        <v>534674.24870006822</v>
      </c>
    </row>
    <row r="414" spans="1:11" x14ac:dyDescent="0.25">
      <c r="A414" s="28">
        <v>46136</v>
      </c>
      <c r="B414" s="29">
        <v>4722.2998046875</v>
      </c>
      <c r="D414" s="28">
        <v>46172</v>
      </c>
      <c r="E414" s="29">
        <v>3678.15</v>
      </c>
      <c r="I414" s="53"/>
      <c r="J414" s="55"/>
      <c r="K414" s="55"/>
    </row>
    <row r="415" spans="1:11" x14ac:dyDescent="0.25">
      <c r="A415" s="28">
        <v>46139</v>
      </c>
      <c r="B415" s="29">
        <v>4675.39990234375</v>
      </c>
      <c r="D415" s="28">
        <v>46175</v>
      </c>
      <c r="E415" s="29">
        <v>3560.24</v>
      </c>
      <c r="I415" s="53">
        <v>46175</v>
      </c>
      <c r="J415" s="55">
        <f t="shared" si="6"/>
        <v>15982273.731679687</v>
      </c>
      <c r="K415" s="55">
        <f>J415/$Q$2</f>
        <v>513842.03233767382</v>
      </c>
    </row>
    <row r="416" spans="1:11" x14ac:dyDescent="0.25">
      <c r="A416" s="28">
        <v>46140</v>
      </c>
      <c r="B416" s="29">
        <v>4591.5</v>
      </c>
      <c r="D416" s="28">
        <v>46176</v>
      </c>
      <c r="E416" s="29">
        <v>3562</v>
      </c>
      <c r="I416" s="53">
        <v>46176</v>
      </c>
      <c r="J416" s="55">
        <f t="shared" si="6"/>
        <v>15803526.095703125</v>
      </c>
      <c r="K416" s="55">
        <f>J416/$Q$2</f>
        <v>508095.16239364998</v>
      </c>
    </row>
    <row r="417" spans="1:11" x14ac:dyDescent="0.25">
      <c r="A417" s="28">
        <v>46141</v>
      </c>
      <c r="B417" s="29">
        <v>4545.2001953125</v>
      </c>
      <c r="D417" s="28">
        <v>46177</v>
      </c>
      <c r="E417" s="29">
        <v>3572.85</v>
      </c>
      <c r="I417" s="53">
        <v>46177</v>
      </c>
      <c r="J417" s="55">
        <f t="shared" si="6"/>
        <v>15991361.332177734</v>
      </c>
      <c r="K417" s="55">
        <f>J417/$Q$2</f>
        <v>514134.20547820348</v>
      </c>
    </row>
    <row r="418" spans="1:11" x14ac:dyDescent="0.25">
      <c r="A418" s="28">
        <v>46142</v>
      </c>
      <c r="B418" s="29">
        <v>4614.7001953125</v>
      </c>
      <c r="D418" s="28">
        <v>46178</v>
      </c>
      <c r="E418" s="29">
        <v>3565.32</v>
      </c>
      <c r="I418" s="53">
        <v>46178</v>
      </c>
      <c r="J418" s="55">
        <f t="shared" si="6"/>
        <v>15463149.720175782</v>
      </c>
      <c r="K418" s="55">
        <f>J418/$Q$2</f>
        <v>497151.80780612223</v>
      </c>
    </row>
    <row r="419" spans="1:11" x14ac:dyDescent="0.25">
      <c r="A419" s="28">
        <v>46143</v>
      </c>
      <c r="B419" s="29">
        <v>4629.89990234375</v>
      </c>
      <c r="D419" s="28">
        <v>46179</v>
      </c>
      <c r="E419" s="29">
        <v>3588.09</v>
      </c>
      <c r="I419" s="53"/>
      <c r="J419" s="55"/>
      <c r="K419" s="55"/>
    </row>
    <row r="420" spans="1:11" x14ac:dyDescent="0.25">
      <c r="A420" s="28">
        <v>46146</v>
      </c>
      <c r="B420" s="29">
        <v>4519.5</v>
      </c>
      <c r="D420" s="28">
        <v>46183</v>
      </c>
      <c r="E420" s="29">
        <v>3581.46</v>
      </c>
      <c r="I420" s="53">
        <v>46183</v>
      </c>
      <c r="J420" s="55">
        <f t="shared" si="6"/>
        <v>14713354.671503907</v>
      </c>
      <c r="K420" s="55">
        <f>J420/$Q$2</f>
        <v>473045.33721786074</v>
      </c>
    </row>
    <row r="421" spans="1:11" x14ac:dyDescent="0.25">
      <c r="A421" s="28">
        <v>46147</v>
      </c>
      <c r="B421" s="29">
        <v>4555.7998046875</v>
      </c>
      <c r="D421" s="28">
        <v>46184</v>
      </c>
      <c r="E421" s="29">
        <v>3567.11</v>
      </c>
      <c r="I421" s="53">
        <v>46184</v>
      </c>
      <c r="J421" s="55">
        <f t="shared" si="6"/>
        <v>14590550.207175294</v>
      </c>
      <c r="K421" s="55">
        <f>J421/$Q$2</f>
        <v>469097.08200773539</v>
      </c>
    </row>
    <row r="422" spans="1:11" x14ac:dyDescent="0.25">
      <c r="A422" s="28">
        <v>46148</v>
      </c>
      <c r="B422" s="29">
        <v>4681.89990234375</v>
      </c>
      <c r="D422" s="28">
        <v>46185</v>
      </c>
      <c r="E422" s="29">
        <v>3513.54</v>
      </c>
      <c r="I422" s="53">
        <v>46185</v>
      </c>
      <c r="J422" s="55">
        <f t="shared" si="6"/>
        <v>14809571.1</v>
      </c>
      <c r="K422" s="55">
        <f>J422/$Q$2</f>
        <v>476138.76722617709</v>
      </c>
    </row>
    <row r="423" spans="1:11" x14ac:dyDescent="0.25">
      <c r="A423" s="28">
        <v>46149</v>
      </c>
      <c r="B423" s="29">
        <v>4699.7998046875</v>
      </c>
      <c r="D423" s="28">
        <v>46186</v>
      </c>
      <c r="E423" s="29">
        <v>3475.72</v>
      </c>
      <c r="I423" s="53"/>
      <c r="J423" s="55"/>
      <c r="K423" s="55"/>
    </row>
    <row r="424" spans="1:11" x14ac:dyDescent="0.25">
      <c r="A424" s="28">
        <v>46150</v>
      </c>
      <c r="B424" s="29">
        <v>4720.39990234375</v>
      </c>
      <c r="D424" s="28">
        <v>46190</v>
      </c>
      <c r="E424" s="29">
        <v>3427.07</v>
      </c>
      <c r="I424" s="53">
        <v>46190</v>
      </c>
      <c r="J424" s="55">
        <f t="shared" si="6"/>
        <v>14938255.088325197</v>
      </c>
      <c r="K424" s="55">
        <f>J424/$Q$2</f>
        <v>480276.0535222608</v>
      </c>
    </row>
    <row r="425" spans="1:11" x14ac:dyDescent="0.25">
      <c r="A425" s="28">
        <v>46153</v>
      </c>
      <c r="B425" s="29">
        <v>4718.7001953125</v>
      </c>
      <c r="D425" s="28">
        <v>46191</v>
      </c>
      <c r="E425" s="29">
        <v>3439.91</v>
      </c>
      <c r="I425" s="53">
        <v>46191</v>
      </c>
      <c r="J425" s="55">
        <f t="shared" si="6"/>
        <v>14530524.16692871</v>
      </c>
      <c r="K425" s="55">
        <f>J425/$Q$2</f>
        <v>467167.2000002492</v>
      </c>
    </row>
    <row r="426" spans="1:11" x14ac:dyDescent="0.25">
      <c r="A426" s="28">
        <v>46154</v>
      </c>
      <c r="B426" s="29">
        <v>4677.60009765625</v>
      </c>
      <c r="D426" s="28">
        <v>46192</v>
      </c>
      <c r="E426" s="29">
        <v>3459.53</v>
      </c>
      <c r="I426" s="53"/>
      <c r="J426" s="55"/>
      <c r="K426" s="55"/>
    </row>
    <row r="427" spans="1:11" x14ac:dyDescent="0.25">
      <c r="A427" s="28">
        <v>46155</v>
      </c>
      <c r="B427" s="29">
        <v>4697.7001953125</v>
      </c>
      <c r="D427" s="28">
        <v>46196</v>
      </c>
      <c r="E427" s="29">
        <v>3406.14</v>
      </c>
      <c r="I427" s="53">
        <v>46196</v>
      </c>
      <c r="J427" s="55">
        <f t="shared" si="6"/>
        <v>14067017.25336914</v>
      </c>
      <c r="K427" s="55">
        <f>J427/$Q$2</f>
        <v>452265.10668958846</v>
      </c>
    </row>
    <row r="428" spans="1:11" x14ac:dyDescent="0.25">
      <c r="A428" s="28">
        <v>46156</v>
      </c>
      <c r="B428" s="29">
        <v>4678.10009765625</v>
      </c>
      <c r="D428" s="28">
        <v>46197</v>
      </c>
      <c r="E428" s="29">
        <v>3425.95</v>
      </c>
      <c r="I428" s="53">
        <v>46197</v>
      </c>
      <c r="J428" s="55">
        <f t="shared" si="6"/>
        <v>13670568.452282714</v>
      </c>
      <c r="K428" s="55">
        <f>J428/$Q$2</f>
        <v>439518.98175842239</v>
      </c>
    </row>
    <row r="429" spans="1:11" x14ac:dyDescent="0.25">
      <c r="A429" s="28">
        <v>46157</v>
      </c>
      <c r="B429" s="29">
        <v>4555.7998046875</v>
      </c>
      <c r="D429" s="28">
        <v>46198</v>
      </c>
      <c r="E429" s="29">
        <v>3428.32</v>
      </c>
      <c r="I429" s="53">
        <v>46198</v>
      </c>
      <c r="J429" s="55">
        <f t="shared" si="6"/>
        <v>13817843.76</v>
      </c>
      <c r="K429" s="55">
        <f>J429/$Q$2</f>
        <v>444253.99285265757</v>
      </c>
    </row>
    <row r="430" spans="1:11" x14ac:dyDescent="0.25">
      <c r="A430" s="28">
        <v>46160</v>
      </c>
      <c r="B430" s="29">
        <v>4552.5</v>
      </c>
      <c r="D430" s="28">
        <v>46199</v>
      </c>
      <c r="E430" s="29">
        <v>3433.71</v>
      </c>
      <c r="I430" s="53">
        <v>46199</v>
      </c>
      <c r="J430" s="55">
        <f t="shared" si="6"/>
        <v>14005072.80933838</v>
      </c>
      <c r="K430" s="55">
        <f>J430/$Q$2</f>
        <v>450273.54656822095</v>
      </c>
    </row>
    <row r="431" spans="1:11" x14ac:dyDescent="0.25">
      <c r="A431" s="28">
        <v>46161</v>
      </c>
      <c r="B431" s="29">
        <v>4506.2998046875</v>
      </c>
      <c r="D431" s="28">
        <v>46200</v>
      </c>
      <c r="E431" s="29">
        <v>3443.59</v>
      </c>
      <c r="I431" s="53"/>
      <c r="J431" s="55"/>
      <c r="K431" s="55"/>
    </row>
    <row r="432" spans="1:11" x14ac:dyDescent="0.25">
      <c r="A432" s="28">
        <v>46162</v>
      </c>
      <c r="B432" s="29">
        <v>4531.2998046875</v>
      </c>
      <c r="D432" s="28">
        <v>46204</v>
      </c>
      <c r="E432" s="29">
        <v>3440.83</v>
      </c>
      <c r="I432" s="53">
        <v>46204</v>
      </c>
      <c r="J432" s="55">
        <f t="shared" si="6"/>
        <v>13998328.857009277</v>
      </c>
      <c r="K432" s="55">
        <f>J432/$Q$2</f>
        <v>450056.72346601705</v>
      </c>
    </row>
    <row r="433" spans="1:11" x14ac:dyDescent="0.25">
      <c r="A433" s="28">
        <v>46163</v>
      </c>
      <c r="B433" s="29">
        <v>4539.7998046875</v>
      </c>
      <c r="D433" s="28">
        <v>46205</v>
      </c>
      <c r="E433" s="29">
        <v>3403.35</v>
      </c>
      <c r="I433" s="53">
        <v>46205</v>
      </c>
      <c r="J433" s="55">
        <f t="shared" si="6"/>
        <v>13996958.209716797</v>
      </c>
      <c r="K433" s="55">
        <f>J433/$Q$2</f>
        <v>450012.65613228158</v>
      </c>
    </row>
    <row r="434" spans="1:11" x14ac:dyDescent="0.25">
      <c r="A434" s="28">
        <v>46164</v>
      </c>
      <c r="B434" s="29">
        <v>4521</v>
      </c>
      <c r="D434" s="28">
        <v>46206</v>
      </c>
      <c r="E434" s="29">
        <v>3357.82</v>
      </c>
      <c r="I434" s="53"/>
      <c r="J434" s="55"/>
      <c r="K434" s="55"/>
    </row>
    <row r="435" spans="1:11" x14ac:dyDescent="0.25">
      <c r="A435" s="28">
        <v>46168</v>
      </c>
      <c r="B435" s="29">
        <v>4500.39990234375</v>
      </c>
      <c r="D435" s="28">
        <v>46207</v>
      </c>
      <c r="E435" s="29">
        <v>3334.93</v>
      </c>
      <c r="I435" s="53"/>
      <c r="J435" s="55"/>
      <c r="K435" s="55"/>
    </row>
    <row r="436" spans="1:11" x14ac:dyDescent="0.25">
      <c r="A436" s="28">
        <v>46169</v>
      </c>
      <c r="B436" s="29">
        <v>4447.5</v>
      </c>
      <c r="D436" s="28">
        <v>46210</v>
      </c>
      <c r="E436" s="29">
        <v>3350.68</v>
      </c>
      <c r="I436" s="53">
        <v>46210</v>
      </c>
      <c r="J436" s="55">
        <f t="shared" si="6"/>
        <v>13889573.149570312</v>
      </c>
      <c r="K436" s="55">
        <f>J436/$Q$2</f>
        <v>446560.14627825504</v>
      </c>
    </row>
    <row r="437" spans="1:11" x14ac:dyDescent="0.25">
      <c r="A437" s="28">
        <v>46170</v>
      </c>
      <c r="B437" s="29">
        <v>4499.2998046875</v>
      </c>
      <c r="D437" s="28">
        <v>46211</v>
      </c>
      <c r="E437" s="29">
        <v>3335.5</v>
      </c>
      <c r="I437" s="53">
        <v>46211</v>
      </c>
      <c r="J437" s="55">
        <f t="shared" si="6"/>
        <v>13578486.624267578</v>
      </c>
      <c r="K437" s="55">
        <f>J437/$Q$2</f>
        <v>436558.48224233178</v>
      </c>
    </row>
    <row r="438" spans="1:11" x14ac:dyDescent="0.25">
      <c r="A438" s="28">
        <v>46171</v>
      </c>
      <c r="B438" s="29">
        <v>4560.5</v>
      </c>
      <c r="D438" s="28">
        <v>46212</v>
      </c>
      <c r="E438" s="29">
        <v>3339.65</v>
      </c>
      <c r="I438" s="53">
        <v>46212</v>
      </c>
      <c r="J438" s="55">
        <f t="shared" si="6"/>
        <v>13794758.616137696</v>
      </c>
      <c r="K438" s="55">
        <f>J438/$Q$2</f>
        <v>443511.78824284032</v>
      </c>
    </row>
    <row r="439" spans="1:11" x14ac:dyDescent="0.25">
      <c r="A439" s="28">
        <v>46174</v>
      </c>
      <c r="B439" s="29">
        <v>4475.2001953125</v>
      </c>
      <c r="D439" s="28">
        <v>46213</v>
      </c>
      <c r="E439" s="29">
        <v>3305.38</v>
      </c>
      <c r="I439" s="53">
        <v>46213</v>
      </c>
      <c r="J439" s="55">
        <f t="shared" si="6"/>
        <v>13565610.380791016</v>
      </c>
      <c r="K439" s="55">
        <f>J439/$Q$2</f>
        <v>436144.5014015609</v>
      </c>
    </row>
    <row r="440" spans="1:11" x14ac:dyDescent="0.25">
      <c r="A440" s="28">
        <v>46175</v>
      </c>
      <c r="B440" s="29">
        <v>4489.10009765625</v>
      </c>
      <c r="D440" s="28">
        <v>46214</v>
      </c>
      <c r="E440" s="29">
        <v>3248.87</v>
      </c>
      <c r="I440" s="53"/>
      <c r="J440" s="55"/>
      <c r="K440" s="55"/>
    </row>
    <row r="441" spans="1:11" x14ac:dyDescent="0.25">
      <c r="A441" s="28">
        <v>46176</v>
      </c>
      <c r="B441" s="29">
        <v>4436.7001953125</v>
      </c>
      <c r="D441" s="28">
        <v>46218</v>
      </c>
      <c r="E441" s="29">
        <v>3252.11</v>
      </c>
      <c r="I441" s="53">
        <v>46218</v>
      </c>
      <c r="J441" s="55">
        <f t="shared" si="6"/>
        <v>13151532.84</v>
      </c>
      <c r="K441" s="55">
        <f>J441/$Q$2</f>
        <v>422831.59932782821</v>
      </c>
    </row>
    <row r="442" spans="1:11" x14ac:dyDescent="0.25">
      <c r="A442" s="28">
        <v>46177</v>
      </c>
      <c r="B442" s="29">
        <v>4475.7998046875</v>
      </c>
      <c r="D442" s="28">
        <v>46219</v>
      </c>
      <c r="E442" s="29">
        <v>3233.91</v>
      </c>
      <c r="I442" s="53">
        <v>46219</v>
      </c>
      <c r="J442" s="55">
        <f t="shared" si="6"/>
        <v>12889072.011811523</v>
      </c>
      <c r="K442" s="55">
        <f>J442/$Q$2</f>
        <v>414393.28775654826</v>
      </c>
    </row>
    <row r="443" spans="1:11" x14ac:dyDescent="0.25">
      <c r="A443" s="28">
        <v>46178</v>
      </c>
      <c r="B443" s="29">
        <v>4337.10009765625</v>
      </c>
      <c r="D443" s="28">
        <v>46220</v>
      </c>
      <c r="E443" s="29">
        <v>3221.41</v>
      </c>
      <c r="I443" s="53">
        <v>46220</v>
      </c>
      <c r="J443" s="55">
        <f t="shared" si="6"/>
        <v>12926551.74970459</v>
      </c>
      <c r="K443" s="55">
        <f>J443/$Q$2</f>
        <v>415598.2893110069</v>
      </c>
    </row>
    <row r="444" spans="1:11" x14ac:dyDescent="0.25">
      <c r="A444" s="28">
        <v>46181</v>
      </c>
      <c r="B444" s="29">
        <v>4335.89990234375</v>
      </c>
      <c r="D444" s="28">
        <v>46221</v>
      </c>
      <c r="E444" s="29">
        <v>3262.58</v>
      </c>
      <c r="I444" s="53"/>
      <c r="J444" s="55"/>
      <c r="K444" s="55"/>
    </row>
    <row r="445" spans="1:11" x14ac:dyDescent="0.25">
      <c r="A445" s="28">
        <v>46182</v>
      </c>
      <c r="B445" s="29">
        <v>4260</v>
      </c>
      <c r="D445" s="28">
        <v>46225</v>
      </c>
      <c r="E445" s="29">
        <v>3238.19</v>
      </c>
      <c r="I445" s="53">
        <v>46225</v>
      </c>
      <c r="J445" s="55">
        <f t="shared" si="6"/>
        <v>13428449.794770507</v>
      </c>
      <c r="K445" s="55">
        <f>J445/$Q$2</f>
        <v>431734.68616121099</v>
      </c>
    </row>
    <row r="446" spans="1:11" x14ac:dyDescent="0.25">
      <c r="A446" s="28">
        <v>46183</v>
      </c>
      <c r="B446" s="29">
        <v>4108.2001953125</v>
      </c>
      <c r="D446" s="28">
        <v>46226</v>
      </c>
      <c r="E446" s="29">
        <v>3206.86</v>
      </c>
      <c r="I446" s="53">
        <v>46226</v>
      </c>
      <c r="J446" s="55">
        <f t="shared" si="6"/>
        <v>12976879.989169922</v>
      </c>
      <c r="K446" s="55">
        <f>J446/$Q$2</f>
        <v>417216.37978330196</v>
      </c>
    </row>
    <row r="447" spans="1:11" x14ac:dyDescent="0.25">
      <c r="A447" s="28">
        <v>46184</v>
      </c>
      <c r="B447" s="29">
        <v>4090.300048828125</v>
      </c>
      <c r="D447" s="28">
        <v>46227</v>
      </c>
      <c r="E447" s="29">
        <v>3219.31</v>
      </c>
      <c r="I447" s="53">
        <v>46227</v>
      </c>
      <c r="J447" s="55">
        <f t="shared" si="6"/>
        <v>13094865.670385743</v>
      </c>
      <c r="K447" s="55">
        <f>J447/$Q$2</f>
        <v>421009.70751879876</v>
      </c>
    </row>
    <row r="448" spans="1:11" x14ac:dyDescent="0.25">
      <c r="A448" s="28">
        <v>46185</v>
      </c>
      <c r="B448" s="29">
        <v>4215</v>
      </c>
      <c r="D448" s="28">
        <v>46228</v>
      </c>
      <c r="E448" s="29">
        <v>3210.56</v>
      </c>
      <c r="I448" s="53"/>
      <c r="J448" s="55"/>
      <c r="K448" s="55"/>
    </row>
    <row r="449" spans="1:11" x14ac:dyDescent="0.25">
      <c r="A449" s="28">
        <v>46188</v>
      </c>
      <c r="B449" s="29">
        <v>4328</v>
      </c>
      <c r="D449" s="28">
        <v>46231</v>
      </c>
      <c r="E449" s="29">
        <v>3205.8</v>
      </c>
      <c r="I449" s="53">
        <v>46231</v>
      </c>
      <c r="J449" s="55">
        <f t="shared" si="6"/>
        <v>12939570.696533203</v>
      </c>
      <c r="K449" s="55">
        <f>J449/$Q$2</f>
        <v>416016.85817108408</v>
      </c>
    </row>
    <row r="450" spans="1:11" x14ac:dyDescent="0.25">
      <c r="A450" s="28">
        <v>46189</v>
      </c>
      <c r="B450" s="29">
        <v>4330.89990234375</v>
      </c>
      <c r="D450" s="28">
        <v>46232</v>
      </c>
      <c r="E450" s="29">
        <v>3205.87</v>
      </c>
      <c r="I450" s="53">
        <v>46232</v>
      </c>
      <c r="J450" s="55">
        <f t="shared" si="6"/>
        <v>12934723.532463379</v>
      </c>
      <c r="K450" s="55">
        <f>J450/$Q$2</f>
        <v>415861.01822749857</v>
      </c>
    </row>
    <row r="451" spans="1:11" x14ac:dyDescent="0.25">
      <c r="A451" s="28">
        <v>46190</v>
      </c>
      <c r="B451" s="29">
        <v>4358.89990234375</v>
      </c>
      <c r="D451" s="28">
        <v>46233</v>
      </c>
      <c r="E451" s="29">
        <v>3206.18</v>
      </c>
      <c r="I451" s="53">
        <v>46233</v>
      </c>
      <c r="J451" s="55">
        <f t="shared" ref="J451:J473" si="7">E451*_xlfn.XLOOKUP(I451,$A$2:$A$504,$B$2:$B$504)</f>
        <v>13145658.931103515</v>
      </c>
      <c r="K451" s="55">
        <f>J451/$Q$2</f>
        <v>422642.74877153011</v>
      </c>
    </row>
    <row r="452" spans="1:11" x14ac:dyDescent="0.25">
      <c r="A452" s="28">
        <v>46191</v>
      </c>
      <c r="B452" s="29">
        <v>4224.10009765625</v>
      </c>
      <c r="D452" s="28">
        <v>46234</v>
      </c>
      <c r="E452" s="29">
        <v>3132.42</v>
      </c>
      <c r="I452" s="53">
        <v>46234</v>
      </c>
      <c r="J452" s="55">
        <f t="shared" si="7"/>
        <v>12683482.127900392</v>
      </c>
      <c r="K452" s="55">
        <f>J452/$Q$2</f>
        <v>407783.41950184782</v>
      </c>
    </row>
    <row r="453" spans="1:11" x14ac:dyDescent="0.25">
      <c r="A453" s="28">
        <v>46195</v>
      </c>
      <c r="B453" s="29">
        <v>4181.89990234375</v>
      </c>
      <c r="D453" s="28">
        <v>46235</v>
      </c>
      <c r="E453" s="29">
        <v>3144.14</v>
      </c>
      <c r="I453" s="53"/>
      <c r="J453" s="55"/>
      <c r="K453" s="55"/>
    </row>
    <row r="454" spans="1:11" x14ac:dyDescent="0.25">
      <c r="A454" s="28">
        <v>46196</v>
      </c>
      <c r="B454" s="29">
        <v>4129.89990234375</v>
      </c>
      <c r="D454" s="28">
        <v>46238</v>
      </c>
      <c r="E454" s="29">
        <v>3230.44</v>
      </c>
      <c r="I454" s="53">
        <v>46238</v>
      </c>
      <c r="J454" s="55">
        <f t="shared" si="7"/>
        <v>13229943.660527345</v>
      </c>
      <c r="K454" s="55">
        <f>J454/$Q$2</f>
        <v>425352.56574684102</v>
      </c>
    </row>
    <row r="455" spans="1:11" x14ac:dyDescent="0.25">
      <c r="A455" s="28">
        <v>46197</v>
      </c>
      <c r="B455" s="29">
        <v>3990.300048828125</v>
      </c>
      <c r="D455" s="28">
        <v>46239</v>
      </c>
      <c r="E455" s="29">
        <v>3204.51</v>
      </c>
      <c r="I455" s="53">
        <v>46239</v>
      </c>
      <c r="J455" s="55">
        <f t="shared" si="7"/>
        <v>13605707.932119142</v>
      </c>
      <c r="K455" s="55">
        <f>J455/$Q$2</f>
        <v>437433.66761233401</v>
      </c>
    </row>
    <row r="456" spans="1:11" x14ac:dyDescent="0.25">
      <c r="A456" s="28">
        <v>46198</v>
      </c>
      <c r="B456" s="29">
        <v>4030.5</v>
      </c>
      <c r="D456" s="28">
        <v>46240</v>
      </c>
      <c r="E456" s="29">
        <v>3179.4</v>
      </c>
      <c r="I456" s="53">
        <v>46240</v>
      </c>
      <c r="J456" s="55">
        <f t="shared" si="7"/>
        <v>13487014.800000001</v>
      </c>
      <c r="K456" s="55">
        <f>J456/$Q$2</f>
        <v>433617.59480213484</v>
      </c>
    </row>
    <row r="457" spans="1:11" x14ac:dyDescent="0.25">
      <c r="A457" s="28">
        <v>46199</v>
      </c>
      <c r="B457" s="29">
        <v>4078.699951171875</v>
      </c>
      <c r="D457" s="28">
        <v>46241</v>
      </c>
      <c r="E457" s="29">
        <v>3157.43</v>
      </c>
      <c r="I457" s="53">
        <v>46241</v>
      </c>
      <c r="J457" s="55">
        <f t="shared" si="7"/>
        <v>13705457.017685546</v>
      </c>
      <c r="K457" s="55">
        <f>J457/$Q$2</f>
        <v>440640.67518283182</v>
      </c>
    </row>
    <row r="458" spans="1:11" x14ac:dyDescent="0.25">
      <c r="A458" s="28">
        <v>46202</v>
      </c>
      <c r="B458" s="29">
        <v>4022.300048828125</v>
      </c>
      <c r="D458" s="28">
        <v>46245</v>
      </c>
      <c r="E458" s="29">
        <v>3125.47</v>
      </c>
      <c r="I458" s="53">
        <v>46245</v>
      </c>
      <c r="J458" s="55">
        <f t="shared" si="7"/>
        <v>13698935.01</v>
      </c>
      <c r="K458" s="55">
        <f>J458/$Q$2</f>
        <v>440430.98776661523</v>
      </c>
    </row>
    <row r="459" spans="1:11" x14ac:dyDescent="0.25">
      <c r="A459" s="28">
        <v>46203</v>
      </c>
      <c r="B459" s="29">
        <v>4022.89990234375</v>
      </c>
      <c r="D459" s="28">
        <v>46246</v>
      </c>
      <c r="E459" s="29">
        <v>3121.07</v>
      </c>
      <c r="I459" s="53">
        <v>46246</v>
      </c>
      <c r="J459" s="55">
        <f t="shared" si="7"/>
        <v>13760485.218208009</v>
      </c>
      <c r="K459" s="55">
        <f>J459/$Q$2</f>
        <v>442409.87291195721</v>
      </c>
    </row>
    <row r="460" spans="1:11" x14ac:dyDescent="0.25">
      <c r="A460" s="28">
        <v>46204</v>
      </c>
      <c r="B460" s="29">
        <v>4068.300048828125</v>
      </c>
      <c r="D460" s="28">
        <v>46247</v>
      </c>
      <c r="E460" s="29">
        <v>3123.28</v>
      </c>
      <c r="I460" s="53">
        <v>46247</v>
      </c>
      <c r="J460" s="55">
        <f t="shared" si="7"/>
        <v>13628744.913007813</v>
      </c>
      <c r="K460" s="55">
        <f>J460/$Q$2</f>
        <v>438174.32374659198</v>
      </c>
    </row>
    <row r="461" spans="1:11" x14ac:dyDescent="0.25">
      <c r="A461" s="28">
        <v>46205</v>
      </c>
      <c r="B461" s="29">
        <v>4112.7001953125</v>
      </c>
      <c r="D461" s="28">
        <v>46248</v>
      </c>
      <c r="E461" s="29">
        <v>3127.51</v>
      </c>
      <c r="I461" s="53">
        <v>46248</v>
      </c>
      <c r="J461" s="55">
        <f t="shared" si="7"/>
        <v>13699744.498579102</v>
      </c>
      <c r="K461" s="55">
        <f>J461/$Q$2</f>
        <v>440457.0134287721</v>
      </c>
    </row>
    <row r="462" spans="1:11" x14ac:dyDescent="0.25">
      <c r="A462" s="28">
        <v>46209</v>
      </c>
      <c r="B462" s="29">
        <v>4155.10009765625</v>
      </c>
      <c r="D462" s="28">
        <v>46249</v>
      </c>
      <c r="E462" s="29">
        <v>3128.65</v>
      </c>
      <c r="I462" s="53"/>
      <c r="J462" s="55"/>
      <c r="K462" s="55"/>
    </row>
    <row r="463" spans="1:11" x14ac:dyDescent="0.25">
      <c r="A463" s="28">
        <v>46210</v>
      </c>
      <c r="B463" s="29">
        <v>4145.2998046875</v>
      </c>
      <c r="D463" s="28">
        <v>46253</v>
      </c>
      <c r="E463" s="29">
        <v>3098.79</v>
      </c>
      <c r="I463" s="53">
        <v>46253</v>
      </c>
      <c r="J463" s="55">
        <f t="shared" si="7"/>
        <v>13911707.523383789</v>
      </c>
      <c r="K463" s="55">
        <f>J463/$Q$2</f>
        <v>447271.78292118741</v>
      </c>
    </row>
    <row r="464" spans="1:11" x14ac:dyDescent="0.25">
      <c r="A464" s="28">
        <v>46211</v>
      </c>
      <c r="B464" s="29">
        <v>4070.89990234375</v>
      </c>
      <c r="D464" s="28">
        <v>46254</v>
      </c>
      <c r="E464" s="29">
        <v>3053.48</v>
      </c>
      <c r="I464" s="53">
        <v>46254</v>
      </c>
      <c r="J464" s="55">
        <f t="shared" si="7"/>
        <v>13790431.127617188</v>
      </c>
      <c r="K464" s="55">
        <f>J464/$Q$2</f>
        <v>443372.65625613881</v>
      </c>
    </row>
    <row r="465" spans="1:11" x14ac:dyDescent="0.25">
      <c r="A465" s="28">
        <v>46212</v>
      </c>
      <c r="B465" s="29">
        <v>4130.60009765625</v>
      </c>
      <c r="D465" s="28">
        <v>46255</v>
      </c>
      <c r="E465" s="29">
        <v>3062.96</v>
      </c>
      <c r="I465" s="53">
        <v>46255</v>
      </c>
      <c r="J465" s="55">
        <f t="shared" si="7"/>
        <v>14163433.635117188</v>
      </c>
      <c r="K465" s="55">
        <f>J465/$Q$2</f>
        <v>455364.96534423408</v>
      </c>
    </row>
    <row r="466" spans="1:11" x14ac:dyDescent="0.25">
      <c r="A466" s="28">
        <v>46213</v>
      </c>
      <c r="B466" s="29">
        <v>4104.10009765625</v>
      </c>
      <c r="D466" s="28">
        <v>46256</v>
      </c>
      <c r="E466" s="29">
        <v>3048.12</v>
      </c>
      <c r="I466" s="53"/>
      <c r="J466" s="55"/>
      <c r="K466" s="55"/>
    </row>
    <row r="467" spans="1:11" x14ac:dyDescent="0.25">
      <c r="A467" s="28">
        <v>46216</v>
      </c>
      <c r="B467" s="29">
        <v>3997</v>
      </c>
      <c r="D467" s="28">
        <v>46259</v>
      </c>
      <c r="E467" s="29">
        <v>3056.51</v>
      </c>
      <c r="I467" s="53">
        <v>46259</v>
      </c>
      <c r="J467" s="55">
        <f t="shared" si="7"/>
        <v>14176399.329487305</v>
      </c>
      <c r="K467" s="55">
        <f>J467/$Q$2</f>
        <v>455781.822098014</v>
      </c>
    </row>
    <row r="468" spans="1:11" x14ac:dyDescent="0.25">
      <c r="A468" s="28">
        <v>46217</v>
      </c>
      <c r="B468" s="29">
        <v>4061.10009765625</v>
      </c>
      <c r="D468" s="28">
        <v>46260</v>
      </c>
      <c r="E468" s="29">
        <v>3081.67</v>
      </c>
      <c r="I468" s="53">
        <v>46260</v>
      </c>
      <c r="J468" s="55">
        <f t="shared" si="7"/>
        <v>14170135.595888672</v>
      </c>
      <c r="K468" s="55">
        <f>J468/$Q$2</f>
        <v>455580.43838651094</v>
      </c>
    </row>
    <row r="469" spans="1:11" x14ac:dyDescent="0.25">
      <c r="A469" s="28">
        <v>46218</v>
      </c>
      <c r="B469" s="29">
        <v>4044</v>
      </c>
      <c r="D469" s="28">
        <v>46261</v>
      </c>
      <c r="E469" s="29">
        <v>3118.24</v>
      </c>
      <c r="I469" s="53">
        <v>46261</v>
      </c>
      <c r="J469" s="55">
        <f t="shared" si="7"/>
        <v>14374151.537031248</v>
      </c>
      <c r="K469" s="55">
        <f>J469/$Q$2</f>
        <v>462139.70320614602</v>
      </c>
    </row>
    <row r="470" spans="1:11" x14ac:dyDescent="0.25">
      <c r="A470" s="28">
        <v>46219</v>
      </c>
      <c r="B470" s="29">
        <v>3985.60009765625</v>
      </c>
      <c r="D470" s="28">
        <v>46262</v>
      </c>
      <c r="E470" s="29">
        <v>3144.28</v>
      </c>
      <c r="I470" s="53">
        <v>46262</v>
      </c>
      <c r="J470" s="55">
        <f t="shared" si="7"/>
        <v>14080400.575058594</v>
      </c>
      <c r="K470" s="55">
        <f>J470/$Q$2</f>
        <v>452695.39047347254</v>
      </c>
    </row>
    <row r="471" spans="1:11" x14ac:dyDescent="0.25">
      <c r="A471" s="28">
        <v>46220</v>
      </c>
      <c r="B471" s="29">
        <v>4012.699951171875</v>
      </c>
      <c r="D471" s="28">
        <v>46263</v>
      </c>
      <c r="E471" s="29">
        <v>3202.79</v>
      </c>
      <c r="I471" s="53"/>
      <c r="J471" s="55"/>
      <c r="K471" s="55"/>
    </row>
    <row r="472" spans="1:11" x14ac:dyDescent="0.25">
      <c r="A472" s="28">
        <v>46223</v>
      </c>
      <c r="B472" s="29">
        <v>4010.300048828125</v>
      </c>
      <c r="D472" s="28">
        <v>46266</v>
      </c>
      <c r="E472" s="29">
        <v>3213.97</v>
      </c>
      <c r="I472" s="53">
        <v>46266</v>
      </c>
      <c r="J472" s="55">
        <f t="shared" si="7"/>
        <v>13974341.559999999</v>
      </c>
      <c r="K472" s="55">
        <f>J472/$Q$2</f>
        <v>449285.51395900536</v>
      </c>
    </row>
    <row r="473" spans="1:11" x14ac:dyDescent="0.25">
      <c r="A473" s="28">
        <v>46224</v>
      </c>
      <c r="B473" s="29">
        <v>4071.10009765625</v>
      </c>
      <c r="D473" s="32">
        <v>46267</v>
      </c>
      <c r="E473" s="33">
        <v>3184</v>
      </c>
      <c r="I473" s="53"/>
      <c r="J473" s="55"/>
      <c r="K473" s="55"/>
    </row>
    <row r="474" spans="1:11" x14ac:dyDescent="0.25">
      <c r="A474" s="28">
        <v>46225</v>
      </c>
      <c r="B474" s="29">
        <v>4146.89990234375</v>
      </c>
    </row>
    <row r="475" spans="1:11" x14ac:dyDescent="0.25">
      <c r="A475" s="28">
        <v>46226</v>
      </c>
      <c r="B475" s="29">
        <v>4046.60009765625</v>
      </c>
    </row>
    <row r="476" spans="1:11" x14ac:dyDescent="0.25">
      <c r="A476" s="28">
        <v>46227</v>
      </c>
      <c r="B476" s="29">
        <v>4067.60009765625</v>
      </c>
    </row>
    <row r="477" spans="1:11" x14ac:dyDescent="0.25">
      <c r="A477" s="28">
        <v>46230</v>
      </c>
      <c r="B477" s="29">
        <v>4074.5</v>
      </c>
    </row>
    <row r="478" spans="1:11" x14ac:dyDescent="0.25">
      <c r="A478" s="28">
        <v>46231</v>
      </c>
      <c r="B478" s="29">
        <v>4036.300048828125</v>
      </c>
    </row>
    <row r="479" spans="1:11" x14ac:dyDescent="0.25">
      <c r="A479" s="28">
        <v>46232</v>
      </c>
      <c r="B479" s="29">
        <v>4034.699951171875</v>
      </c>
    </row>
    <row r="480" spans="1:11" x14ac:dyDescent="0.25">
      <c r="A480" s="28">
        <v>46233</v>
      </c>
      <c r="B480" s="29">
        <v>4100.10009765625</v>
      </c>
    </row>
    <row r="481" spans="1:2" x14ac:dyDescent="0.25">
      <c r="A481" s="28">
        <v>46234</v>
      </c>
      <c r="B481" s="29">
        <v>4049.10009765625</v>
      </c>
    </row>
    <row r="482" spans="1:2" x14ac:dyDescent="0.25">
      <c r="A482" s="28">
        <v>46237</v>
      </c>
      <c r="B482" s="29">
        <v>4033.699951171875</v>
      </c>
    </row>
    <row r="483" spans="1:2" x14ac:dyDescent="0.25">
      <c r="A483" s="28">
        <v>46238</v>
      </c>
      <c r="B483" s="29">
        <v>4095.39990234375</v>
      </c>
    </row>
    <row r="484" spans="1:2" x14ac:dyDescent="0.25">
      <c r="A484" s="28">
        <v>46239</v>
      </c>
      <c r="B484" s="29">
        <v>4245.7998046875</v>
      </c>
    </row>
    <row r="485" spans="1:2" x14ac:dyDescent="0.25">
      <c r="A485" s="28">
        <v>46240</v>
      </c>
      <c r="B485" s="29">
        <v>4242</v>
      </c>
    </row>
    <row r="486" spans="1:2" x14ac:dyDescent="0.25">
      <c r="A486" s="28">
        <v>46241</v>
      </c>
      <c r="B486" s="29">
        <v>4340.7001953125</v>
      </c>
    </row>
    <row r="487" spans="1:2" x14ac:dyDescent="0.25">
      <c r="A487" s="28">
        <v>46244</v>
      </c>
      <c r="B487" s="29">
        <v>4361.7998046875</v>
      </c>
    </row>
    <row r="488" spans="1:2" x14ac:dyDescent="0.25">
      <c r="A488" s="28">
        <v>46245</v>
      </c>
      <c r="B488" s="29">
        <v>4383</v>
      </c>
    </row>
    <row r="489" spans="1:2" x14ac:dyDescent="0.25">
      <c r="A489" s="28">
        <v>46246</v>
      </c>
      <c r="B489" s="29">
        <v>4408.89990234375</v>
      </c>
    </row>
    <row r="490" spans="1:2" x14ac:dyDescent="0.25">
      <c r="A490" s="28">
        <v>46247</v>
      </c>
      <c r="B490" s="29">
        <v>4363.60009765625</v>
      </c>
    </row>
    <row r="491" spans="1:2" x14ac:dyDescent="0.25">
      <c r="A491" s="28">
        <v>46248</v>
      </c>
      <c r="B491" s="29">
        <v>4380.39990234375</v>
      </c>
    </row>
    <row r="492" spans="1:2" x14ac:dyDescent="0.25">
      <c r="A492" s="28">
        <v>46251</v>
      </c>
      <c r="B492" s="29">
        <v>4417.7998046875</v>
      </c>
    </row>
    <row r="493" spans="1:2" x14ac:dyDescent="0.25">
      <c r="A493" s="28">
        <v>46252</v>
      </c>
      <c r="B493" s="29">
        <v>4366</v>
      </c>
    </row>
    <row r="494" spans="1:2" x14ac:dyDescent="0.25">
      <c r="A494" s="28">
        <v>46253</v>
      </c>
      <c r="B494" s="29">
        <v>4489.39990234375</v>
      </c>
    </row>
    <row r="495" spans="1:2" x14ac:dyDescent="0.25">
      <c r="A495" s="28">
        <v>46254</v>
      </c>
      <c r="B495" s="29">
        <v>4516.2998046875</v>
      </c>
    </row>
    <row r="496" spans="1:2" x14ac:dyDescent="0.25">
      <c r="A496" s="28">
        <v>46255</v>
      </c>
      <c r="B496" s="29">
        <v>4624.10009765625</v>
      </c>
    </row>
    <row r="497" spans="1:2" x14ac:dyDescent="0.25">
      <c r="A497" s="28">
        <v>46258</v>
      </c>
      <c r="B497" s="29">
        <v>4640.7998046875</v>
      </c>
    </row>
    <row r="498" spans="1:2" x14ac:dyDescent="0.25">
      <c r="A498" s="28">
        <v>46259</v>
      </c>
      <c r="B498" s="29">
        <v>4638.10009765625</v>
      </c>
    </row>
    <row r="499" spans="1:2" x14ac:dyDescent="0.25">
      <c r="A499" s="28">
        <v>46260</v>
      </c>
      <c r="B499" s="29">
        <v>4598.2001953125</v>
      </c>
    </row>
    <row r="500" spans="1:2" x14ac:dyDescent="0.25">
      <c r="A500" s="28">
        <v>46261</v>
      </c>
      <c r="B500" s="29">
        <v>4609.7001953125</v>
      </c>
    </row>
    <row r="501" spans="1:2" x14ac:dyDescent="0.25">
      <c r="A501" s="28">
        <v>46262</v>
      </c>
      <c r="B501" s="29">
        <v>4478.10009765625</v>
      </c>
    </row>
    <row r="502" spans="1:2" x14ac:dyDescent="0.25">
      <c r="A502" s="28">
        <v>46265</v>
      </c>
      <c r="B502" s="29">
        <v>4431.10009765625</v>
      </c>
    </row>
    <row r="503" spans="1:2" x14ac:dyDescent="0.25">
      <c r="A503" s="28">
        <v>46266</v>
      </c>
      <c r="B503" s="29">
        <v>4348</v>
      </c>
    </row>
    <row r="504" spans="1:2" x14ac:dyDescent="0.25">
      <c r="A504" s="32">
        <v>46266</v>
      </c>
      <c r="B504" s="33">
        <v>4348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6770-C777-4ECD-A990-B30CAFB8ED3B}">
  <dimension ref="C1:J367"/>
  <sheetViews>
    <sheetView workbookViewId="0">
      <selection activeCell="H25" sqref="H25"/>
    </sheetView>
  </sheetViews>
  <sheetFormatPr defaultRowHeight="15" x14ac:dyDescent="0.25"/>
  <cols>
    <col min="3" max="3" width="10.42578125" bestFit="1" customWidth="1"/>
    <col min="4" max="4" width="15.28515625" bestFit="1" customWidth="1"/>
    <col min="5" max="5" width="12.5703125" bestFit="1" customWidth="1"/>
  </cols>
  <sheetData>
    <row r="1" spans="3:10" x14ac:dyDescent="0.25">
      <c r="C1" t="s">
        <v>38</v>
      </c>
      <c r="D1" t="s">
        <v>39</v>
      </c>
      <c r="E1" t="s">
        <v>40</v>
      </c>
      <c r="F1" t="s">
        <v>42</v>
      </c>
    </row>
    <row r="2" spans="3:10" x14ac:dyDescent="0.25">
      <c r="C2" s="53">
        <v>45539</v>
      </c>
      <c r="D2" s="55">
        <v>10436873.311230469</v>
      </c>
      <c r="E2" s="55">
        <v>335553.26879824797</v>
      </c>
      <c r="H2" s="56">
        <f>_xlfn.STDEV.S(F3:F367)</f>
        <v>1.8913553964960909E-2</v>
      </c>
      <c r="J2">
        <f>COUNT(F3:F367)</f>
        <v>365</v>
      </c>
    </row>
    <row r="3" spans="3:10" x14ac:dyDescent="0.25">
      <c r="C3" s="53">
        <v>45540</v>
      </c>
      <c r="D3" s="55">
        <v>10512267.939228514</v>
      </c>
      <c r="E3" s="55">
        <v>337977.26237564906</v>
      </c>
      <c r="F3">
        <f>LN(Table3[[#This Row],[Gram]]/E2)</f>
        <v>7.1979039724404626E-3</v>
      </c>
      <c r="H3" s="56">
        <f>H2*SQRT(83)</f>
        <v>0.17231067714333767</v>
      </c>
    </row>
    <row r="4" spans="3:10" x14ac:dyDescent="0.25">
      <c r="C4" s="53">
        <v>45541</v>
      </c>
      <c r="D4" s="55">
        <v>10404128.75</v>
      </c>
      <c r="E4" s="55">
        <v>334500.50670862623</v>
      </c>
      <c r="F4">
        <f>LN(Table3[[#This Row],[Gram]]/E3)</f>
        <v>-1.0340227751126439E-2</v>
      </c>
    </row>
    <row r="5" spans="3:10" x14ac:dyDescent="0.25">
      <c r="C5" s="53">
        <v>45545</v>
      </c>
      <c r="D5" s="55">
        <v>10603614.570087891</v>
      </c>
      <c r="E5" s="55">
        <v>340914.12475430692</v>
      </c>
      <c r="F5">
        <f>LN(Table3[[#This Row],[Gram]]/E4)</f>
        <v>1.8992217611907003E-2</v>
      </c>
    </row>
    <row r="6" spans="3:10" x14ac:dyDescent="0.25">
      <c r="C6" s="53">
        <v>45546</v>
      </c>
      <c r="D6" s="55">
        <v>10765881.299516601</v>
      </c>
      <c r="E6" s="55">
        <v>346131.12124868954</v>
      </c>
      <c r="F6">
        <f>LN(Table3[[#This Row],[Gram]]/E5)</f>
        <v>1.5187054412791411E-2</v>
      </c>
    </row>
    <row r="7" spans="3:10" x14ac:dyDescent="0.25">
      <c r="C7" s="53">
        <v>45547</v>
      </c>
      <c r="D7" s="55">
        <v>10914747.727099609</v>
      </c>
      <c r="E7" s="55">
        <v>350917.28803448781</v>
      </c>
      <c r="F7">
        <f>LN(Table3[[#This Row],[Gram]]/E6)</f>
        <v>1.3732882655617621E-2</v>
      </c>
    </row>
    <row r="8" spans="3:10" x14ac:dyDescent="0.25">
      <c r="C8" s="53">
        <v>45548</v>
      </c>
      <c r="D8" s="55">
        <v>10936013.2258667</v>
      </c>
      <c r="E8" s="55">
        <v>351600.98969600402</v>
      </c>
      <c r="F8">
        <f>LN(Table3[[#This Row],[Gram]]/E7)</f>
        <v>1.9464315706650829E-3</v>
      </c>
    </row>
    <row r="9" spans="3:10" x14ac:dyDescent="0.25">
      <c r="C9" s="53">
        <v>45552</v>
      </c>
      <c r="D9" s="55">
        <v>10822833.500083007</v>
      </c>
      <c r="E9" s="55">
        <v>347962.1770156257</v>
      </c>
      <c r="F9">
        <f>LN(Table3[[#This Row],[Gram]]/E8)</f>
        <v>-1.0403193511176311E-2</v>
      </c>
    </row>
    <row r="10" spans="3:10" x14ac:dyDescent="0.25">
      <c r="C10" s="53">
        <v>45553</v>
      </c>
      <c r="D10" s="55">
        <v>10898045.424001465</v>
      </c>
      <c r="E10" s="55">
        <v>350380.29652046697</v>
      </c>
      <c r="F10">
        <f>LN(Table3[[#This Row],[Gram]]/E9)</f>
        <v>6.9253389588957957E-3</v>
      </c>
    </row>
    <row r="11" spans="3:10" x14ac:dyDescent="0.25">
      <c r="C11" s="53">
        <v>45554</v>
      </c>
      <c r="D11" s="55">
        <v>10842322.48</v>
      </c>
      <c r="E11" s="55">
        <v>348588.76226981805</v>
      </c>
      <c r="F11">
        <f>LN(Table3[[#This Row],[Gram]]/E10)</f>
        <v>-5.1262302710355029E-3</v>
      </c>
    </row>
    <row r="12" spans="3:10" x14ac:dyDescent="0.25">
      <c r="C12" s="53">
        <v>45555</v>
      </c>
      <c r="D12" s="55">
        <v>10938344.082275392</v>
      </c>
      <c r="E12" s="55">
        <v>351675.92846968776</v>
      </c>
      <c r="F12">
        <f>LN(Table3[[#This Row],[Gram]]/E11)</f>
        <v>8.817197957080811E-3</v>
      </c>
    </row>
    <row r="13" spans="3:10" x14ac:dyDescent="0.25">
      <c r="C13" s="53">
        <v>45559</v>
      </c>
      <c r="D13" s="55">
        <v>11016557.669104004</v>
      </c>
      <c r="E13" s="55">
        <v>354190.55367803783</v>
      </c>
      <c r="F13">
        <f>LN(Table3[[#This Row],[Gram]]/E12)</f>
        <v>7.1249617593940476E-3</v>
      </c>
    </row>
    <row r="14" spans="3:10" x14ac:dyDescent="0.25">
      <c r="C14" s="53">
        <v>45560</v>
      </c>
      <c r="D14" s="55">
        <v>11007572.053879395</v>
      </c>
      <c r="E14" s="55">
        <v>353901.6594401882</v>
      </c>
      <c r="F14">
        <f>LN(Table3[[#This Row],[Gram]]/E13)</f>
        <v>-8.1597918611976466E-4</v>
      </c>
    </row>
    <row r="15" spans="3:10" x14ac:dyDescent="0.25">
      <c r="C15" s="53">
        <v>45561</v>
      </c>
      <c r="D15" s="55">
        <v>11194196.116552733</v>
      </c>
      <c r="E15" s="55">
        <v>359901.76238280645</v>
      </c>
      <c r="F15">
        <f>LN(Table3[[#This Row],[Gram]]/E14)</f>
        <v>1.6812035591881724E-2</v>
      </c>
    </row>
    <row r="16" spans="3:10" x14ac:dyDescent="0.25">
      <c r="C16" s="53">
        <v>45562</v>
      </c>
      <c r="D16" s="55">
        <v>11074619.477497557</v>
      </c>
      <c r="E16" s="55">
        <v>356057.28416501521</v>
      </c>
      <c r="F16">
        <f>LN(Table3[[#This Row],[Gram]]/E15)</f>
        <v>-1.0739483457834416E-2</v>
      </c>
    </row>
    <row r="17" spans="3:6" x14ac:dyDescent="0.25">
      <c r="C17" s="53">
        <v>45566</v>
      </c>
      <c r="D17" s="55">
        <v>11144779.794018555</v>
      </c>
      <c r="E17" s="55">
        <v>358312.99072065653</v>
      </c>
      <c r="F17">
        <f>LN(Table3[[#This Row],[Gram]]/E16)</f>
        <v>6.3152517170848785E-3</v>
      </c>
    </row>
    <row r="18" spans="3:6" x14ac:dyDescent="0.25">
      <c r="C18" s="53">
        <v>45567</v>
      </c>
      <c r="D18" s="55">
        <v>11181906.703520508</v>
      </c>
      <c r="E18" s="55">
        <v>359506.64857893024</v>
      </c>
      <c r="F18">
        <f>LN(Table3[[#This Row],[Gram]]/E17)</f>
        <v>3.325790750670438E-3</v>
      </c>
    </row>
    <row r="19" spans="3:6" x14ac:dyDescent="0.25">
      <c r="C19" s="53">
        <v>45568</v>
      </c>
      <c r="D19" s="55">
        <v>11168934.263491211</v>
      </c>
      <c r="E19" s="55">
        <v>359089.57494717155</v>
      </c>
      <c r="F19">
        <f>LN(Table3[[#This Row],[Gram]]/E18)</f>
        <v>-1.1608011980485996E-3</v>
      </c>
    </row>
    <row r="20" spans="3:6" x14ac:dyDescent="0.25">
      <c r="C20" s="53">
        <v>45569</v>
      </c>
      <c r="D20" s="55">
        <v>11106354.238967285</v>
      </c>
      <c r="E20" s="55">
        <v>357077.58043844427</v>
      </c>
      <c r="F20">
        <f>LN(Table3[[#This Row],[Gram]]/E19)</f>
        <v>-5.6187994296259787E-3</v>
      </c>
    </row>
    <row r="21" spans="3:6" x14ac:dyDescent="0.25">
      <c r="C21" s="53">
        <v>45573</v>
      </c>
      <c r="D21" s="55">
        <v>10969846.550000001</v>
      </c>
      <c r="E21" s="55">
        <v>352688.75632578804</v>
      </c>
      <c r="F21">
        <f>LN(Table3[[#This Row],[Gram]]/E20)</f>
        <v>-1.2367112450236046E-2</v>
      </c>
    </row>
    <row r="22" spans="3:6" x14ac:dyDescent="0.25">
      <c r="C22" s="53">
        <v>45574</v>
      </c>
      <c r="D22" s="55">
        <v>11032605.24</v>
      </c>
      <c r="E22" s="55">
        <v>354706.49506295711</v>
      </c>
      <c r="F22">
        <f>LN(Table3[[#This Row],[Gram]]/E21)</f>
        <v>5.7047151653181428E-3</v>
      </c>
    </row>
    <row r="23" spans="3:6" x14ac:dyDescent="0.25">
      <c r="C23" s="53">
        <v>45575</v>
      </c>
      <c r="D23" s="55">
        <v>11093445.715395508</v>
      </c>
      <c r="E23" s="55">
        <v>356662.56176851294</v>
      </c>
      <c r="F23">
        <f>LN(Table3[[#This Row],[Gram]]/E22)</f>
        <v>5.4994566230074926E-3</v>
      </c>
    </row>
    <row r="24" spans="3:6" x14ac:dyDescent="0.25">
      <c r="C24" s="53">
        <v>45576</v>
      </c>
      <c r="D24" s="55">
        <v>11208162.651855467</v>
      </c>
      <c r="E24" s="55">
        <v>360350.79691976646</v>
      </c>
      <c r="F24">
        <f>LN(Table3[[#This Row],[Gram]]/E23)</f>
        <v>1.0287863222569443E-2</v>
      </c>
    </row>
    <row r="25" spans="3:6" x14ac:dyDescent="0.25">
      <c r="C25" s="53">
        <v>45581</v>
      </c>
      <c r="D25" s="55">
        <v>11350702.16</v>
      </c>
      <c r="E25" s="55">
        <v>364933.54852213821</v>
      </c>
      <c r="F25">
        <f>LN(Table3[[#This Row],[Gram]]/E24)</f>
        <v>1.2637285280373875E-2</v>
      </c>
    </row>
    <row r="26" spans="3:6" x14ac:dyDescent="0.25">
      <c r="C26" s="53">
        <v>45582</v>
      </c>
      <c r="D26" s="55">
        <v>11480344.199999999</v>
      </c>
      <c r="E26" s="55">
        <v>369101.6368948181</v>
      </c>
      <c r="F26">
        <f>LN(Table3[[#This Row],[Gram]]/E25)</f>
        <v>1.1356766689274525E-2</v>
      </c>
    </row>
    <row r="27" spans="3:6" x14ac:dyDescent="0.25">
      <c r="C27" s="53">
        <v>45583</v>
      </c>
      <c r="D27" s="55">
        <v>11568964.220837403</v>
      </c>
      <c r="E27" s="55">
        <v>371950.83672566805</v>
      </c>
      <c r="F27">
        <f>LN(Table3[[#This Row],[Gram]]/E26)</f>
        <v>7.689641346143342E-3</v>
      </c>
    </row>
    <row r="28" spans="3:6" x14ac:dyDescent="0.25">
      <c r="C28" s="53">
        <v>45587</v>
      </c>
      <c r="D28" s="55">
        <v>11764275.422675781</v>
      </c>
      <c r="E28" s="55">
        <v>378230.23767798784</v>
      </c>
      <c r="F28">
        <f>LN(Table3[[#This Row],[Gram]]/E27)</f>
        <v>1.6741418383373164E-2</v>
      </c>
    </row>
    <row r="29" spans="3:6" x14ac:dyDescent="0.25">
      <c r="C29" s="53">
        <v>45588</v>
      </c>
      <c r="D29" s="55">
        <v>11569586.703759765</v>
      </c>
      <c r="E29" s="55">
        <v>371970.85001634818</v>
      </c>
      <c r="F29">
        <f>LN(Table3[[#This Row],[Gram]]/E28)</f>
        <v>-1.6687613551381805E-2</v>
      </c>
    </row>
    <row r="30" spans="3:6" x14ac:dyDescent="0.25">
      <c r="C30" s="53">
        <v>45589</v>
      </c>
      <c r="D30" s="55">
        <v>11743414.039672852</v>
      </c>
      <c r="E30" s="55">
        <v>377559.52863998961</v>
      </c>
      <c r="F30">
        <f>LN(Table3[[#This Row],[Gram]]/E29)</f>
        <v>1.4912756986881442E-2</v>
      </c>
    </row>
    <row r="31" spans="3:6" x14ac:dyDescent="0.25">
      <c r="C31" s="53">
        <v>45590</v>
      </c>
      <c r="D31" s="55">
        <v>11818294.425922852</v>
      </c>
      <c r="E31" s="55">
        <v>379966.98896127433</v>
      </c>
      <c r="F31">
        <f>LN(Table3[[#This Row],[Gram]]/E30)</f>
        <v>6.3561297737704933E-3</v>
      </c>
    </row>
    <row r="32" spans="3:6" x14ac:dyDescent="0.25">
      <c r="C32" s="53">
        <v>45594</v>
      </c>
      <c r="D32" s="55">
        <v>12022883.93588867</v>
      </c>
      <c r="E32" s="55">
        <v>386544.69444678514</v>
      </c>
      <c r="F32">
        <f>LN(Table3[[#This Row],[Gram]]/E31)</f>
        <v>1.7163122480318038E-2</v>
      </c>
    </row>
    <row r="33" spans="3:6" x14ac:dyDescent="0.25">
      <c r="C33" s="53">
        <v>45595</v>
      </c>
      <c r="D33" s="55">
        <v>12178467.015000001</v>
      </c>
      <c r="E33" s="55">
        <v>391546.80659366032</v>
      </c>
      <c r="F33">
        <f>LN(Table3[[#This Row],[Gram]]/E32)</f>
        <v>1.2857565083718924E-2</v>
      </c>
    </row>
    <row r="34" spans="3:6" x14ac:dyDescent="0.25">
      <c r="C34" s="53">
        <v>45596</v>
      </c>
      <c r="D34" s="55">
        <v>12085377.733500976</v>
      </c>
      <c r="E34" s="55">
        <v>388553.91669592954</v>
      </c>
      <c r="F34">
        <f>LN(Table3[[#This Row],[Gram]]/E33)</f>
        <v>-7.6731234638947009E-3</v>
      </c>
    </row>
    <row r="35" spans="3:6" x14ac:dyDescent="0.25">
      <c r="C35" s="53">
        <v>45597</v>
      </c>
      <c r="D35" s="55">
        <v>12076048.83262207</v>
      </c>
      <c r="E35" s="55">
        <v>388253.98556800798</v>
      </c>
      <c r="F35">
        <f>LN(Table3[[#This Row],[Gram]]/E34)</f>
        <v>-7.7221444826169471E-4</v>
      </c>
    </row>
    <row r="36" spans="3:6" x14ac:dyDescent="0.25">
      <c r="C36" s="53">
        <v>45602</v>
      </c>
      <c r="D36" s="55">
        <v>11795754.167822264</v>
      </c>
      <c r="E36" s="55">
        <v>379242.30283549085</v>
      </c>
      <c r="F36">
        <f>LN(Table3[[#This Row],[Gram]]/E35)</f>
        <v>-2.348440517505854E-2</v>
      </c>
    </row>
    <row r="37" spans="3:6" x14ac:dyDescent="0.25">
      <c r="C37" s="53">
        <v>45603</v>
      </c>
      <c r="D37" s="55">
        <v>11954990.927343749</v>
      </c>
      <c r="E37" s="55">
        <v>384361.88353527564</v>
      </c>
      <c r="F37">
        <f>LN(Table3[[#This Row],[Gram]]/E36)</f>
        <v>1.3409191573477355E-2</v>
      </c>
    </row>
    <row r="38" spans="3:6" x14ac:dyDescent="0.25">
      <c r="C38" s="53">
        <v>45604</v>
      </c>
      <c r="D38" s="55">
        <v>11675978.125</v>
      </c>
      <c r="E38" s="55">
        <v>375391.41363771912</v>
      </c>
      <c r="F38">
        <f>LN(Table3[[#This Row],[Gram]]/E37)</f>
        <v>-2.3615262520520961E-2</v>
      </c>
    </row>
    <row r="39" spans="3:6" x14ac:dyDescent="0.25">
      <c r="C39" s="53">
        <v>45609</v>
      </c>
      <c r="D39" s="55">
        <v>11391109.44751709</v>
      </c>
      <c r="E39" s="55">
        <v>366232.67298262584</v>
      </c>
      <c r="F39">
        <f>LN(Table3[[#This Row],[Gram]]/E38)</f>
        <v>-2.4700401372447882E-2</v>
      </c>
    </row>
    <row r="40" spans="3:6" x14ac:dyDescent="0.25">
      <c r="C40" s="53">
        <v>45610</v>
      </c>
      <c r="D40" s="55">
        <v>11500938.703337403</v>
      </c>
      <c r="E40" s="55">
        <v>369763.76555232576</v>
      </c>
      <c r="F40">
        <f>LN(Table3[[#This Row],[Gram]]/E39)</f>
        <v>9.5954802986520406E-3</v>
      </c>
    </row>
    <row r="41" spans="3:6" x14ac:dyDescent="0.25">
      <c r="C41" s="53">
        <v>45611</v>
      </c>
      <c r="D41" s="55">
        <v>11482969.730466308</v>
      </c>
      <c r="E41" s="55">
        <v>369186.04965944862</v>
      </c>
      <c r="F41">
        <f>LN(Table3[[#This Row],[Gram]]/E40)</f>
        <v>-1.5636136546452019E-3</v>
      </c>
    </row>
    <row r="42" spans="3:6" x14ac:dyDescent="0.25">
      <c r="C42" s="53">
        <v>45615</v>
      </c>
      <c r="D42" s="55">
        <v>11561053.128754882</v>
      </c>
      <c r="E42" s="55">
        <v>371696.48920904181</v>
      </c>
      <c r="F42">
        <f>LN(Table3[[#This Row],[Gram]]/E41)</f>
        <v>6.7769154376681193E-3</v>
      </c>
    </row>
    <row r="43" spans="3:6" x14ac:dyDescent="0.25">
      <c r="C43" s="53">
        <v>45616</v>
      </c>
      <c r="D43" s="55">
        <v>11655628.37309082</v>
      </c>
      <c r="E43" s="55">
        <v>374737.15392135264</v>
      </c>
      <c r="F43">
        <f>LN(Table3[[#This Row],[Gram]]/E42)</f>
        <v>8.1472253013532801E-3</v>
      </c>
    </row>
    <row r="44" spans="3:6" x14ac:dyDescent="0.25">
      <c r="C44" s="53">
        <v>45617</v>
      </c>
      <c r="D44" s="55">
        <v>11794810.157060549</v>
      </c>
      <c r="E44" s="55">
        <v>379211.95218473289</v>
      </c>
      <c r="F44">
        <f>LN(Table3[[#This Row],[Gram]]/E43)</f>
        <v>1.1870432025913076E-2</v>
      </c>
    </row>
    <row r="45" spans="3:6" x14ac:dyDescent="0.25">
      <c r="C45" s="53">
        <v>45618</v>
      </c>
      <c r="D45" s="55">
        <v>11888574.762573242</v>
      </c>
      <c r="E45" s="55">
        <v>382226.55425367889</v>
      </c>
      <c r="F45">
        <f>LN(Table3[[#This Row],[Gram]]/E44)</f>
        <v>7.9182174115820774E-3</v>
      </c>
    </row>
    <row r="46" spans="3:6" x14ac:dyDescent="0.25">
      <c r="C46" s="53">
        <v>45622</v>
      </c>
      <c r="D46" s="55">
        <v>11482128.610964354</v>
      </c>
      <c r="E46" s="55">
        <v>369159.00703950739</v>
      </c>
      <c r="F46">
        <f>LN(Table3[[#This Row],[Gram]]/E45)</f>
        <v>-3.4786042160011459E-2</v>
      </c>
    </row>
    <row r="47" spans="3:6" x14ac:dyDescent="0.25">
      <c r="C47" s="53">
        <v>45623</v>
      </c>
      <c r="D47" s="55">
        <v>11631293.373730469</v>
      </c>
      <c r="E47" s="55">
        <v>373954.76552417025</v>
      </c>
      <c r="F47">
        <f>LN(Table3[[#This Row],[Gram]]/E46)</f>
        <v>1.2907377693205409E-2</v>
      </c>
    </row>
    <row r="48" spans="3:6" x14ac:dyDescent="0.25">
      <c r="C48" s="53">
        <v>45629</v>
      </c>
      <c r="D48" s="55">
        <v>11803216.541081544</v>
      </c>
      <c r="E48" s="55">
        <v>379482.22370695049</v>
      </c>
      <c r="F48">
        <f>LN(Table3[[#This Row],[Gram]]/E47)</f>
        <v>1.4672912083263866E-2</v>
      </c>
    </row>
    <row r="49" spans="3:6" x14ac:dyDescent="0.25">
      <c r="C49" s="53">
        <v>45630</v>
      </c>
      <c r="D49" s="55">
        <v>11792240.130969238</v>
      </c>
      <c r="E49" s="55">
        <v>379129.32392719638</v>
      </c>
      <c r="F49">
        <f>LN(Table3[[#This Row],[Gram]]/E48)</f>
        <v>-9.3038342564366659E-4</v>
      </c>
    </row>
    <row r="50" spans="3:6" x14ac:dyDescent="0.25">
      <c r="C50" s="53">
        <v>45631</v>
      </c>
      <c r="D50" s="55">
        <v>11621549.728085939</v>
      </c>
      <c r="E50" s="55">
        <v>373641.50004239846</v>
      </c>
      <c r="F50">
        <f>LN(Table3[[#This Row],[Gram]]/E49)</f>
        <v>-1.458058929150924E-2</v>
      </c>
    </row>
    <row r="51" spans="3:6" x14ac:dyDescent="0.25">
      <c r="C51" s="53">
        <v>45632</v>
      </c>
      <c r="D51" s="55">
        <v>11628653.648383789</v>
      </c>
      <c r="E51" s="55">
        <v>373869.89638353838</v>
      </c>
      <c r="F51">
        <f>LN(Table3[[#This Row],[Gram]]/E50)</f>
        <v>6.1108459172491084E-4</v>
      </c>
    </row>
    <row r="52" spans="3:6" x14ac:dyDescent="0.25">
      <c r="C52" s="53">
        <v>45636</v>
      </c>
      <c r="D52" s="55">
        <v>11814706.123706054</v>
      </c>
      <c r="E52" s="55">
        <v>379851.62236609042</v>
      </c>
      <c r="F52">
        <f>LN(Table3[[#This Row],[Gram]]/E51)</f>
        <v>1.5872842749249692E-2</v>
      </c>
    </row>
    <row r="53" spans="3:6" x14ac:dyDescent="0.25">
      <c r="C53" s="53">
        <v>45637</v>
      </c>
      <c r="D53" s="55">
        <v>11966772.305737305</v>
      </c>
      <c r="E53" s="55">
        <v>384740.663646236</v>
      </c>
      <c r="F53">
        <f>LN(Table3[[#This Row],[Gram]]/E52)</f>
        <v>1.2788797387379806E-2</v>
      </c>
    </row>
    <row r="54" spans="3:6" x14ac:dyDescent="0.25">
      <c r="C54" s="53">
        <v>45638</v>
      </c>
      <c r="D54" s="55">
        <v>11720778.75</v>
      </c>
      <c r="E54" s="55">
        <v>376831.78717821027</v>
      </c>
      <c r="F54">
        <f>LN(Table3[[#This Row],[Gram]]/E53)</f>
        <v>-2.0770606377503165E-2</v>
      </c>
    </row>
    <row r="55" spans="3:6" x14ac:dyDescent="0.25">
      <c r="C55" s="53">
        <v>45639</v>
      </c>
      <c r="D55" s="55">
        <v>11514291.199999999</v>
      </c>
      <c r="E55" s="55">
        <v>370193.05828858336</v>
      </c>
      <c r="F55">
        <f>LN(Table3[[#This Row],[Gram]]/E54)</f>
        <v>-1.7774251303191584E-2</v>
      </c>
    </row>
    <row r="56" spans="3:6" x14ac:dyDescent="0.25">
      <c r="C56" s="53">
        <v>45643</v>
      </c>
      <c r="D56" s="55">
        <v>11434887.61371582</v>
      </c>
      <c r="E56" s="55">
        <v>367640.17370932049</v>
      </c>
      <c r="F56">
        <f>LN(Table3[[#This Row],[Gram]]/E55)</f>
        <v>-6.9199777289712357E-3</v>
      </c>
    </row>
    <row r="57" spans="3:6" x14ac:dyDescent="0.25">
      <c r="C57" s="53">
        <v>45644</v>
      </c>
      <c r="D57" s="55">
        <v>11456436.18</v>
      </c>
      <c r="E57" s="55">
        <v>368332.97620284045</v>
      </c>
      <c r="F57">
        <f>LN(Table3[[#This Row],[Gram]]/E56)</f>
        <v>1.8826847100039911E-3</v>
      </c>
    </row>
    <row r="58" spans="3:6" x14ac:dyDescent="0.25">
      <c r="C58" s="53">
        <v>45645</v>
      </c>
      <c r="D58" s="55">
        <v>11299684.72915283</v>
      </c>
      <c r="E58" s="55">
        <v>363293.30003238836</v>
      </c>
      <c r="F58">
        <f>LN(Table3[[#This Row],[Gram]]/E57)</f>
        <v>-1.3776858610877895E-2</v>
      </c>
    </row>
    <row r="59" spans="3:6" x14ac:dyDescent="0.25">
      <c r="C59" s="53">
        <v>45646</v>
      </c>
      <c r="D59" s="55">
        <v>11551821.935424805</v>
      </c>
      <c r="E59" s="55">
        <v>371399.69945176051</v>
      </c>
      <c r="F59">
        <f>LN(Table3[[#This Row],[Gram]]/E58)</f>
        <v>2.2068342600345344E-2</v>
      </c>
    </row>
    <row r="60" spans="3:6" x14ac:dyDescent="0.25">
      <c r="C60" s="53">
        <v>45650</v>
      </c>
      <c r="D60" s="55">
        <v>11516052.799999999</v>
      </c>
      <c r="E60" s="55">
        <v>370249.69504373864</v>
      </c>
      <c r="F60">
        <f>LN(Table3[[#This Row],[Gram]]/E59)</f>
        <v>-3.1012101897152557E-3</v>
      </c>
    </row>
    <row r="61" spans="3:6" x14ac:dyDescent="0.25">
      <c r="C61" s="53">
        <v>45653</v>
      </c>
      <c r="D61" s="55">
        <v>11452500.578334959</v>
      </c>
      <c r="E61" s="55">
        <v>368206.44367111265</v>
      </c>
      <c r="F61">
        <f>LN(Table3[[#This Row],[Gram]]/E60)</f>
        <v>-5.5338603874036047E-3</v>
      </c>
    </row>
    <row r="62" spans="3:6" x14ac:dyDescent="0.25">
      <c r="C62" s="53">
        <v>45657</v>
      </c>
      <c r="D62" s="55">
        <v>11592536.964709472</v>
      </c>
      <c r="E62" s="55">
        <v>372708.71803982608</v>
      </c>
      <c r="F62">
        <f>LN(Table3[[#This Row],[Gram]]/E61)</f>
        <v>1.2153428675587222E-2</v>
      </c>
    </row>
    <row r="63" spans="3:6" x14ac:dyDescent="0.25">
      <c r="C63" s="53">
        <v>45660</v>
      </c>
      <c r="D63" s="55">
        <v>11665772.5</v>
      </c>
      <c r="E63" s="55">
        <v>375063.29517476965</v>
      </c>
      <c r="F63">
        <f>LN(Table3[[#This Row],[Gram]]/E62)</f>
        <v>6.2976010740237098E-3</v>
      </c>
    </row>
    <row r="64" spans="3:6" x14ac:dyDescent="0.25">
      <c r="C64" s="53">
        <v>45665</v>
      </c>
      <c r="D64" s="55">
        <v>11570084.995000001</v>
      </c>
      <c r="E64" s="55">
        <v>371986.87045173038</v>
      </c>
      <c r="F64">
        <f>LN(Table3[[#This Row],[Gram]]/E63)</f>
        <v>-8.2362396944986125E-3</v>
      </c>
    </row>
    <row r="65" spans="3:6" x14ac:dyDescent="0.25">
      <c r="C65" s="53">
        <v>45666</v>
      </c>
      <c r="D65" s="55">
        <v>11667606.008276368</v>
      </c>
      <c r="E65" s="55">
        <v>375122.24383469461</v>
      </c>
      <c r="F65">
        <f>LN(Table3[[#This Row],[Gram]]/E64)</f>
        <v>8.3933972428141736E-3</v>
      </c>
    </row>
    <row r="66" spans="3:6" x14ac:dyDescent="0.25">
      <c r="C66" s="53">
        <v>45667</v>
      </c>
      <c r="D66" s="55">
        <v>11703943.114999998</v>
      </c>
      <c r="E66" s="55">
        <v>376290.50894400326</v>
      </c>
      <c r="F66">
        <f>LN(Table3[[#This Row],[Gram]]/E65)</f>
        <v>3.1095188265793717E-3</v>
      </c>
    </row>
    <row r="67" spans="3:6" x14ac:dyDescent="0.25">
      <c r="C67" s="53">
        <v>45671</v>
      </c>
      <c r="D67" s="55">
        <v>11596868.324999999</v>
      </c>
      <c r="E67" s="55">
        <v>372847.97450682428</v>
      </c>
      <c r="F67">
        <f>LN(Table3[[#This Row],[Gram]]/E66)</f>
        <v>-9.1907137212778062E-3</v>
      </c>
    </row>
    <row r="68" spans="3:6" x14ac:dyDescent="0.25">
      <c r="C68" s="53">
        <v>45672</v>
      </c>
      <c r="D68" s="55">
        <v>11664401</v>
      </c>
      <c r="E68" s="55">
        <v>375019.20042585081</v>
      </c>
      <c r="F68">
        <f>LN(Table3[[#This Row],[Gram]]/E67)</f>
        <v>5.8064642814780985E-3</v>
      </c>
    </row>
    <row r="69" spans="3:6" x14ac:dyDescent="0.25">
      <c r="C69" s="53">
        <v>45673</v>
      </c>
      <c r="D69" s="55">
        <v>11793343.284653319</v>
      </c>
      <c r="E69" s="55">
        <v>379164.79114171956</v>
      </c>
      <c r="F69">
        <f>LN(Table3[[#This Row],[Gram]]/E68)</f>
        <v>1.0993689910061624E-2</v>
      </c>
    </row>
    <row r="70" spans="3:6" x14ac:dyDescent="0.25">
      <c r="C70" s="53">
        <v>45674</v>
      </c>
      <c r="D70" s="55">
        <v>11905185.25682373</v>
      </c>
      <c r="E70" s="55">
        <v>382760.59404470597</v>
      </c>
      <c r="F70">
        <f>LN(Table3[[#This Row],[Gram]]/E69)</f>
        <v>9.4387972076150697E-3</v>
      </c>
    </row>
    <row r="71" spans="3:6" x14ac:dyDescent="0.25">
      <c r="C71" s="53">
        <v>45679</v>
      </c>
      <c r="D71" s="55">
        <v>11920247.352612304</v>
      </c>
      <c r="E71" s="55">
        <v>383244.8516691968</v>
      </c>
      <c r="F71">
        <f>LN(Table3[[#This Row],[Gram]]/E70)</f>
        <v>1.2643714002636051E-3</v>
      </c>
    </row>
    <row r="72" spans="3:6" x14ac:dyDescent="0.25">
      <c r="C72" s="53">
        <v>45680</v>
      </c>
      <c r="D72" s="55">
        <v>11820569.848774415</v>
      </c>
      <c r="E72" s="55">
        <v>380040.14550471137</v>
      </c>
      <c r="F72">
        <f>LN(Table3[[#This Row],[Gram]]/E71)</f>
        <v>-8.3971911079110135E-3</v>
      </c>
    </row>
    <row r="73" spans="3:6" x14ac:dyDescent="0.25">
      <c r="C73" s="53">
        <v>45681</v>
      </c>
      <c r="D73" s="55">
        <v>11791443.952307127</v>
      </c>
      <c r="E73" s="55">
        <v>379103.72618880752</v>
      </c>
      <c r="F73">
        <f>LN(Table3[[#This Row],[Gram]]/E72)</f>
        <v>-2.4670416920009831E-3</v>
      </c>
    </row>
    <row r="74" spans="3:6" x14ac:dyDescent="0.25">
      <c r="C74" s="53">
        <v>45685</v>
      </c>
      <c r="D74" s="55">
        <v>11678275.654096678</v>
      </c>
      <c r="E74" s="55">
        <v>375465.28091344045</v>
      </c>
      <c r="F74">
        <f>LN(Table3[[#This Row],[Gram]]/E73)</f>
        <v>-9.643845533454919E-3</v>
      </c>
    </row>
    <row r="75" spans="3:6" x14ac:dyDescent="0.25">
      <c r="C75" s="53">
        <v>45686</v>
      </c>
      <c r="D75" s="55">
        <v>11682833.312011719</v>
      </c>
      <c r="E75" s="55">
        <v>375611.81301801343</v>
      </c>
      <c r="F75">
        <f>LN(Table3[[#This Row],[Gram]]/E74)</f>
        <v>3.901919193544216E-4</v>
      </c>
    </row>
    <row r="76" spans="3:6" x14ac:dyDescent="0.25">
      <c r="C76" s="53">
        <v>45687</v>
      </c>
      <c r="D76" s="55">
        <v>11844178.800000001</v>
      </c>
      <c r="E76" s="55">
        <v>380799.19091231632</v>
      </c>
      <c r="F76">
        <f>LN(Table3[[#This Row],[Gram]]/E75)</f>
        <v>1.3715980310693985E-2</v>
      </c>
    </row>
    <row r="77" spans="3:6" x14ac:dyDescent="0.25">
      <c r="C77" s="53">
        <v>45688</v>
      </c>
      <c r="D77" s="55">
        <v>11728153.125</v>
      </c>
      <c r="E77" s="55">
        <v>377068.87883993727</v>
      </c>
      <c r="F77">
        <f>LN(Table3[[#This Row],[Gram]]/E76)</f>
        <v>-9.8443049567562418E-3</v>
      </c>
    </row>
    <row r="78" spans="3:6" x14ac:dyDescent="0.25">
      <c r="C78" s="53">
        <v>45692</v>
      </c>
      <c r="D78" s="55">
        <v>11980036.783012696</v>
      </c>
      <c r="E78" s="55">
        <v>385167.12649348244</v>
      </c>
      <c r="F78">
        <f>LN(Table3[[#This Row],[Gram]]/E77)</f>
        <v>2.1249461631020369E-2</v>
      </c>
    </row>
    <row r="79" spans="3:6" x14ac:dyDescent="0.25">
      <c r="C79" s="53">
        <v>45693</v>
      </c>
      <c r="D79" s="55">
        <v>11927305.86961914</v>
      </c>
      <c r="E79" s="55">
        <v>383471.78826063394</v>
      </c>
      <c r="F79">
        <f>LN(Table3[[#This Row],[Gram]]/E78)</f>
        <v>-4.4112806403465172E-3</v>
      </c>
    </row>
    <row r="80" spans="3:6" x14ac:dyDescent="0.25">
      <c r="C80" s="53">
        <v>45694</v>
      </c>
      <c r="D80" s="55">
        <v>11938251.360000001</v>
      </c>
      <c r="E80" s="55">
        <v>383823.69394793839</v>
      </c>
      <c r="F80">
        <f>LN(Table3[[#This Row],[Gram]]/E79)</f>
        <v>9.1726256738833333E-4</v>
      </c>
    </row>
    <row r="81" spans="3:6" x14ac:dyDescent="0.25">
      <c r="C81" s="53">
        <v>45695</v>
      </c>
      <c r="D81" s="55">
        <v>11902133.829685058</v>
      </c>
      <c r="E81" s="55">
        <v>382662.48838409793</v>
      </c>
      <c r="F81">
        <f>LN(Table3[[#This Row],[Gram]]/E80)</f>
        <v>-3.0299475163033164E-3</v>
      </c>
    </row>
    <row r="82" spans="3:6" x14ac:dyDescent="0.25">
      <c r="C82" s="53">
        <v>45699</v>
      </c>
      <c r="D82" s="55">
        <v>12037158.625</v>
      </c>
      <c r="E82" s="55">
        <v>387003.63635874947</v>
      </c>
      <c r="F82">
        <f>LN(Table3[[#This Row],[Gram]]/E81)</f>
        <v>1.128071996657164E-2</v>
      </c>
    </row>
    <row r="83" spans="3:6" x14ac:dyDescent="0.25">
      <c r="C83" s="53">
        <v>45700</v>
      </c>
      <c r="D83" s="55">
        <v>12083404.200000001</v>
      </c>
      <c r="E83" s="55">
        <v>388490.466120495</v>
      </c>
      <c r="F83">
        <f>LN(Table3[[#This Row],[Gram]]/E82)</f>
        <v>3.8345400147241225E-3</v>
      </c>
    </row>
    <row r="84" spans="3:6" x14ac:dyDescent="0.25">
      <c r="C84" s="53">
        <v>45701</v>
      </c>
      <c r="D84" s="55">
        <v>12186577.906254882</v>
      </c>
      <c r="E84" s="55">
        <v>391807.57780284173</v>
      </c>
      <c r="F84">
        <f>LN(Table3[[#This Row],[Gram]]/E83)</f>
        <v>8.5022170447601759E-3</v>
      </c>
    </row>
    <row r="85" spans="3:6" x14ac:dyDescent="0.25">
      <c r="C85" s="53">
        <v>45702</v>
      </c>
      <c r="D85" s="55">
        <v>11999986.462392578</v>
      </c>
      <c r="E85" s="55">
        <v>385808.52357935038</v>
      </c>
      <c r="F85">
        <f>LN(Table3[[#This Row],[Gram]]/E84)</f>
        <v>-1.5429652834310531E-2</v>
      </c>
    </row>
    <row r="86" spans="3:6" x14ac:dyDescent="0.25">
      <c r="C86" s="53">
        <v>45707</v>
      </c>
      <c r="D86" s="55">
        <v>12002762.370498046</v>
      </c>
      <c r="E86" s="55">
        <v>385897.77109734714</v>
      </c>
      <c r="F86">
        <f>LN(Table3[[#This Row],[Gram]]/E85)</f>
        <v>2.3129918470345579E-4</v>
      </c>
    </row>
    <row r="87" spans="3:6" x14ac:dyDescent="0.25">
      <c r="C87" s="53">
        <v>45708</v>
      </c>
      <c r="D87" s="55">
        <v>12050089.800000001</v>
      </c>
      <c r="E87" s="55">
        <v>387419.38328900904</v>
      </c>
      <c r="F87">
        <f>LN(Table3[[#This Row],[Gram]]/E86)</f>
        <v>3.9352913529379831E-3</v>
      </c>
    </row>
    <row r="88" spans="3:6" x14ac:dyDescent="0.25">
      <c r="C88" s="53">
        <v>45709</v>
      </c>
      <c r="D88" s="55">
        <v>11978240.654199218</v>
      </c>
      <c r="E88" s="55">
        <v>385109.37961119571</v>
      </c>
      <c r="F88">
        <f>LN(Table3[[#This Row],[Gram]]/E87)</f>
        <v>-5.9803871998668186E-3</v>
      </c>
    </row>
    <row r="89" spans="3:6" x14ac:dyDescent="0.25">
      <c r="C89" s="53">
        <v>45713</v>
      </c>
      <c r="D89" s="55">
        <v>11945133.835000001</v>
      </c>
      <c r="E89" s="55">
        <v>384044.97065742826</v>
      </c>
      <c r="F89">
        <f>LN(Table3[[#This Row],[Gram]]/E88)</f>
        <v>-2.7677400066123724E-3</v>
      </c>
    </row>
    <row r="90" spans="3:6" x14ac:dyDescent="0.25">
      <c r="C90" s="53">
        <v>45714</v>
      </c>
      <c r="D90" s="55">
        <v>12036292.07349121</v>
      </c>
      <c r="E90" s="55">
        <v>386975.77608080168</v>
      </c>
      <c r="F90">
        <f>LN(Table3[[#This Row],[Gram]]/E89)</f>
        <v>7.6024401464216953E-3</v>
      </c>
    </row>
    <row r="91" spans="3:6" x14ac:dyDescent="0.25">
      <c r="C91" s="53">
        <v>45715</v>
      </c>
      <c r="D91" s="55">
        <v>11887721.718676759</v>
      </c>
      <c r="E91" s="55">
        <v>382199.12825555116</v>
      </c>
      <c r="F91">
        <f>LN(Table3[[#This Row],[Gram]]/E90)</f>
        <v>-1.242034602002561E-2</v>
      </c>
    </row>
    <row r="92" spans="3:6" x14ac:dyDescent="0.25">
      <c r="C92" s="53">
        <v>45716</v>
      </c>
      <c r="D92" s="55">
        <v>11687928.249177245</v>
      </c>
      <c r="E92" s="55">
        <v>375775.61905160535</v>
      </c>
      <c r="F92">
        <f>LN(Table3[[#This Row],[Gram]]/E91)</f>
        <v>-1.6949543526619874E-2</v>
      </c>
    </row>
    <row r="93" spans="3:6" x14ac:dyDescent="0.25">
      <c r="C93" s="53">
        <v>45720</v>
      </c>
      <c r="D93" s="55">
        <v>11977688.858012695</v>
      </c>
      <c r="E93" s="55">
        <v>385091.63895184523</v>
      </c>
      <c r="F93">
        <f>LN(Table3[[#This Row],[Gram]]/E92)</f>
        <v>2.4489121798702527E-2</v>
      </c>
    </row>
    <row r="94" spans="3:6" x14ac:dyDescent="0.25">
      <c r="C94" s="53">
        <v>45721</v>
      </c>
      <c r="D94" s="55">
        <v>12081528.15635254</v>
      </c>
      <c r="E94" s="55">
        <v>388430.14991663379</v>
      </c>
      <c r="F94">
        <f>LN(Table3[[#This Row],[Gram]]/E93)</f>
        <v>8.6320301321009818E-3</v>
      </c>
    </row>
    <row r="95" spans="3:6" x14ac:dyDescent="0.25">
      <c r="C95" s="53">
        <v>45722</v>
      </c>
      <c r="D95" s="55">
        <v>12032812.860893555</v>
      </c>
      <c r="E95" s="55">
        <v>386863.91679831612</v>
      </c>
      <c r="F95">
        <f>LN(Table3[[#This Row],[Gram]]/E94)</f>
        <v>-4.0403643371698167E-3</v>
      </c>
    </row>
    <row r="96" spans="3:6" x14ac:dyDescent="0.25">
      <c r="C96" s="53">
        <v>45723</v>
      </c>
      <c r="D96" s="55">
        <v>11922515.231582033</v>
      </c>
      <c r="E96" s="55">
        <v>383317.76567120088</v>
      </c>
      <c r="F96">
        <f>LN(Table3[[#This Row],[Gram]]/E95)</f>
        <v>-9.2086744392159033E-3</v>
      </c>
    </row>
    <row r="97" spans="3:6" x14ac:dyDescent="0.25">
      <c r="C97" s="53">
        <v>45727</v>
      </c>
      <c r="D97" s="55">
        <v>12123372.877558595</v>
      </c>
      <c r="E97" s="55">
        <v>389775.48894336453</v>
      </c>
      <c r="F97">
        <f>LN(Table3[[#This Row],[Gram]]/E96)</f>
        <v>1.6706583414463957E-2</v>
      </c>
    </row>
    <row r="98" spans="3:6" x14ac:dyDescent="0.25">
      <c r="C98" s="53">
        <v>45728</v>
      </c>
      <c r="D98" s="55">
        <v>12205377.321542969</v>
      </c>
      <c r="E98" s="55">
        <v>392411.99303940742</v>
      </c>
      <c r="F98">
        <f>LN(Table3[[#This Row],[Gram]]/E97)</f>
        <v>6.7413865389322411E-3</v>
      </c>
    </row>
    <row r="99" spans="3:6" x14ac:dyDescent="0.25">
      <c r="C99" s="53">
        <v>45729</v>
      </c>
      <c r="D99" s="55">
        <v>12265711.944687501</v>
      </c>
      <c r="E99" s="55">
        <v>394351.79621744092</v>
      </c>
      <c r="F99">
        <f>LN(Table3[[#This Row],[Gram]]/E98)</f>
        <v>4.9311041895251121E-3</v>
      </c>
    </row>
    <row r="100" spans="3:6" x14ac:dyDescent="0.25">
      <c r="C100" s="53">
        <v>45730</v>
      </c>
      <c r="D100" s="55">
        <v>12319912.010000002</v>
      </c>
      <c r="E100" s="55">
        <v>396094.3687813062</v>
      </c>
      <c r="F100">
        <f>LN(Table3[[#This Row],[Gram]]/E99)</f>
        <v>4.4090931527247836E-3</v>
      </c>
    </row>
    <row r="101" spans="3:6" x14ac:dyDescent="0.25">
      <c r="C101" s="53">
        <v>45734</v>
      </c>
      <c r="D101" s="55">
        <v>12373192.568115234</v>
      </c>
      <c r="E101" s="55">
        <v>397807.37850230408</v>
      </c>
      <c r="F101">
        <f>LN(Table3[[#This Row],[Gram]]/E100)</f>
        <v>4.3154266514549046E-3</v>
      </c>
    </row>
    <row r="102" spans="3:6" x14ac:dyDescent="0.25">
      <c r="C102" s="53">
        <v>45735</v>
      </c>
      <c r="D102" s="55">
        <v>12526214.074067382</v>
      </c>
      <c r="E102" s="55">
        <v>402727.13415972143</v>
      </c>
      <c r="F102">
        <f>LN(Table3[[#This Row],[Gram]]/E101)</f>
        <v>1.2291331648718215E-2</v>
      </c>
    </row>
    <row r="103" spans="3:6" x14ac:dyDescent="0.25">
      <c r="C103" s="53">
        <v>45736</v>
      </c>
      <c r="D103" s="55">
        <v>12595145.600000001</v>
      </c>
      <c r="E103" s="55">
        <v>404943.33418056986</v>
      </c>
      <c r="F103">
        <f>LN(Table3[[#This Row],[Gram]]/E102)</f>
        <v>5.4878955460817046E-3</v>
      </c>
    </row>
    <row r="104" spans="3:6" x14ac:dyDescent="0.25">
      <c r="C104" s="53">
        <v>45737</v>
      </c>
      <c r="D104" s="55">
        <v>12639376.299521485</v>
      </c>
      <c r="E104" s="55">
        <v>406365.38419143821</v>
      </c>
      <c r="F104">
        <f>LN(Table3[[#This Row],[Gram]]/E103)</f>
        <v>3.5055742283290549E-3</v>
      </c>
    </row>
    <row r="105" spans="3:6" x14ac:dyDescent="0.25">
      <c r="C105" s="53">
        <v>45742</v>
      </c>
      <c r="D105" s="55">
        <v>12407258.82491211</v>
      </c>
      <c r="E105" s="55">
        <v>398902.63409112225</v>
      </c>
      <c r="F105">
        <f>LN(Table3[[#This Row],[Gram]]/E104)</f>
        <v>-1.853535366555693E-2</v>
      </c>
    </row>
    <row r="106" spans="3:6" x14ac:dyDescent="0.25">
      <c r="C106" s="53">
        <v>45743</v>
      </c>
      <c r="D106" s="55">
        <v>12642971.282270508</v>
      </c>
      <c r="E106" s="55">
        <v>406480.96557072061</v>
      </c>
      <c r="F106">
        <f>LN(Table3[[#This Row],[Gram]]/E105)</f>
        <v>1.8819740450575301E-2</v>
      </c>
    </row>
    <row r="107" spans="3:6" x14ac:dyDescent="0.25">
      <c r="C107" s="53">
        <v>45744</v>
      </c>
      <c r="D107" s="55">
        <v>12816969.035</v>
      </c>
      <c r="E107" s="55">
        <v>412075.12322223734</v>
      </c>
      <c r="F107">
        <f>LN(Table3[[#This Row],[Gram]]/E106)</f>
        <v>1.3668567918786323E-2</v>
      </c>
    </row>
    <row r="108" spans="3:6" x14ac:dyDescent="0.25">
      <c r="C108" s="53">
        <v>45748</v>
      </c>
      <c r="D108" s="55">
        <v>13073773.421645507</v>
      </c>
      <c r="E108" s="55">
        <v>420331.57597498898</v>
      </c>
      <c r="F108">
        <f>LN(Table3[[#This Row],[Gram]]/E107)</f>
        <v>1.9838195773644905E-2</v>
      </c>
    </row>
    <row r="109" spans="3:6" x14ac:dyDescent="0.25">
      <c r="C109" s="53">
        <v>45749</v>
      </c>
      <c r="D109" s="55">
        <v>13028198.270800781</v>
      </c>
      <c r="E109" s="55">
        <v>418866.3008503532</v>
      </c>
      <c r="F109">
        <f>LN(Table3[[#This Row],[Gram]]/E108)</f>
        <v>-3.4920884672052471E-3</v>
      </c>
    </row>
    <row r="110" spans="3:6" x14ac:dyDescent="0.25">
      <c r="C110" s="53">
        <v>45750</v>
      </c>
      <c r="D110" s="55">
        <v>12840378.789999999</v>
      </c>
      <c r="E110" s="55">
        <v>412827.764322476</v>
      </c>
      <c r="F110">
        <f>LN(Table3[[#This Row],[Gram]]/E109)</f>
        <v>-1.4521307513750999E-2</v>
      </c>
    </row>
    <row r="111" spans="3:6" x14ac:dyDescent="0.25">
      <c r="C111" s="53">
        <v>45751</v>
      </c>
      <c r="D111" s="55">
        <v>12439590.120000001</v>
      </c>
      <c r="E111" s="55">
        <v>399942.10936572857</v>
      </c>
      <c r="F111">
        <f>LN(Table3[[#This Row],[Gram]]/E110)</f>
        <v>-3.1710660390328604E-2</v>
      </c>
    </row>
    <row r="112" spans="3:6" x14ac:dyDescent="0.25">
      <c r="C112" s="53">
        <v>45755</v>
      </c>
      <c r="D112" s="55">
        <v>12985354.424799804</v>
      </c>
      <c r="E112" s="55">
        <v>417488.83921555046</v>
      </c>
      <c r="F112">
        <f>LN(Table3[[#This Row],[Gram]]/E111)</f>
        <v>4.2938001467349017E-2</v>
      </c>
    </row>
    <row r="113" spans="3:6" x14ac:dyDescent="0.25">
      <c r="C113" s="53">
        <v>45756</v>
      </c>
      <c r="D113" s="55">
        <v>13411860.869999999</v>
      </c>
      <c r="E113" s="55">
        <v>431201.33984506835</v>
      </c>
      <c r="F113">
        <f>LN(Table3[[#This Row],[Gram]]/E112)</f>
        <v>3.2317315321585924E-2</v>
      </c>
    </row>
    <row r="114" spans="3:6" x14ac:dyDescent="0.25">
      <c r="C114" s="53">
        <v>45757</v>
      </c>
      <c r="D114" s="55">
        <v>13935540.072341308</v>
      </c>
      <c r="E114" s="55">
        <v>448038.01716280502</v>
      </c>
      <c r="F114">
        <f>LN(Table3[[#This Row],[Gram]]/E113)</f>
        <v>3.8302961715669798E-2</v>
      </c>
    </row>
    <row r="115" spans="3:6" x14ac:dyDescent="0.25">
      <c r="C115" s="53">
        <v>45758</v>
      </c>
      <c r="D115" s="55">
        <v>14021564.197521973</v>
      </c>
      <c r="E115" s="55">
        <v>450803.75701027655</v>
      </c>
      <c r="F115">
        <f>LN(Table3[[#This Row],[Gram]]/E114)</f>
        <v>6.1540276734433083E-3</v>
      </c>
    </row>
    <row r="116" spans="3:6" x14ac:dyDescent="0.25">
      <c r="C116" s="53">
        <v>45762</v>
      </c>
      <c r="D116" s="55">
        <v>13795895.169714356</v>
      </c>
      <c r="E116" s="55">
        <v>443548.32928884518</v>
      </c>
      <c r="F116">
        <f>LN(Table3[[#This Row],[Gram]]/E115)</f>
        <v>-1.6225347947489623E-2</v>
      </c>
    </row>
    <row r="117" spans="3:6" x14ac:dyDescent="0.25">
      <c r="C117" s="53">
        <v>45763</v>
      </c>
      <c r="D117" s="55">
        <v>14403845.762841797</v>
      </c>
      <c r="E117" s="55">
        <v>463094.39473473257</v>
      </c>
      <c r="F117">
        <f>LN(Table3[[#This Row],[Gram]]/E116)</f>
        <v>4.3124141344240113E-2</v>
      </c>
    </row>
    <row r="118" spans="3:6" x14ac:dyDescent="0.25">
      <c r="C118" s="53">
        <v>45764</v>
      </c>
      <c r="D118" s="55">
        <v>14249048.687719727</v>
      </c>
      <c r="E118" s="55">
        <v>458117.55320291803</v>
      </c>
      <c r="F118">
        <f>LN(Table3[[#This Row],[Gram]]/E117)</f>
        <v>-1.0805092060277742E-2</v>
      </c>
    </row>
    <row r="119" spans="3:6" x14ac:dyDescent="0.25">
      <c r="C119" s="53">
        <v>45769</v>
      </c>
      <c r="D119" s="55">
        <v>14531040.472634276</v>
      </c>
      <c r="E119" s="55">
        <v>467183.79961414076</v>
      </c>
      <c r="F119">
        <f>LN(Table3[[#This Row],[Gram]]/E118)</f>
        <v>1.9596937866455961E-2</v>
      </c>
    </row>
    <row r="120" spans="3:6" x14ac:dyDescent="0.25">
      <c r="C120" s="53">
        <v>45770</v>
      </c>
      <c r="D120" s="55">
        <v>14033113.895141602</v>
      </c>
      <c r="E120" s="55">
        <v>451175.0884113895</v>
      </c>
      <c r="F120">
        <f>LN(Table3[[#This Row],[Gram]]/E119)</f>
        <v>-3.4867268623948601E-2</v>
      </c>
    </row>
    <row r="121" spans="3:6" x14ac:dyDescent="0.25">
      <c r="C121" s="53">
        <v>45771</v>
      </c>
      <c r="D121" s="55">
        <v>14321968.920000002</v>
      </c>
      <c r="E121" s="55">
        <v>460461.99311068666</v>
      </c>
      <c r="F121">
        <f>LN(Table3[[#This Row],[Gram]]/E120)</f>
        <v>2.0374831522225492E-2</v>
      </c>
    </row>
    <row r="122" spans="3:6" x14ac:dyDescent="0.25">
      <c r="C122" s="53">
        <v>45772</v>
      </c>
      <c r="D122" s="55">
        <v>14030848.150561523</v>
      </c>
      <c r="E122" s="55">
        <v>451102.24303160614</v>
      </c>
      <c r="F122">
        <f>LN(Table3[[#This Row],[Gram]]/E121)</f>
        <v>-2.0536301565643678E-2</v>
      </c>
    </row>
    <row r="123" spans="3:6" x14ac:dyDescent="0.25">
      <c r="C123" s="53">
        <v>45776</v>
      </c>
      <c r="D123" s="55">
        <v>14029629.822412109</v>
      </c>
      <c r="E123" s="55">
        <v>451063.07287203689</v>
      </c>
      <c r="F123">
        <f>LN(Table3[[#This Row],[Gram]]/E122)</f>
        <v>-8.6835880083986121E-5</v>
      </c>
    </row>
    <row r="124" spans="3:6" x14ac:dyDescent="0.25">
      <c r="C124" s="53">
        <v>45777</v>
      </c>
      <c r="D124" s="55">
        <v>13877133.15</v>
      </c>
      <c r="E124" s="55">
        <v>446160.19100475614</v>
      </c>
      <c r="F124">
        <f>LN(Table3[[#This Row],[Gram]]/E123)</f>
        <v>-1.09291206925163E-2</v>
      </c>
    </row>
    <row r="125" spans="3:6" x14ac:dyDescent="0.25">
      <c r="C125" s="53">
        <v>45778</v>
      </c>
      <c r="D125" s="55">
        <v>13553422.5</v>
      </c>
      <c r="E125" s="55">
        <v>435752.65193504025</v>
      </c>
      <c r="F125">
        <f>LN(Table3[[#This Row],[Gram]]/E124)</f>
        <v>-2.360328989835498E-2</v>
      </c>
    </row>
    <row r="126" spans="3:6" x14ac:dyDescent="0.25">
      <c r="C126" s="53">
        <v>45783</v>
      </c>
      <c r="D126" s="55">
        <v>14613140.849677734</v>
      </c>
      <c r="E126" s="55">
        <v>469823.38802965381</v>
      </c>
      <c r="F126">
        <f>LN(Table3[[#This Row],[Gram]]/E125)</f>
        <v>7.5282083644081829E-2</v>
      </c>
    </row>
    <row r="127" spans="3:6" x14ac:dyDescent="0.25">
      <c r="C127" s="53">
        <v>45784</v>
      </c>
      <c r="D127" s="55">
        <v>14556994.207587892</v>
      </c>
      <c r="E127" s="55">
        <v>468018.23156914383</v>
      </c>
      <c r="F127">
        <f>LN(Table3[[#This Row],[Gram]]/E126)</f>
        <v>-3.8496024319447375E-3</v>
      </c>
    </row>
    <row r="128" spans="3:6" x14ac:dyDescent="0.25">
      <c r="C128" s="53">
        <v>45785</v>
      </c>
      <c r="D128" s="55">
        <v>14197764.334584961</v>
      </c>
      <c r="E128" s="55">
        <v>456468.72296234616</v>
      </c>
      <c r="F128">
        <f>LN(Table3[[#This Row],[Gram]]/E127)</f>
        <v>-2.498706868432236E-2</v>
      </c>
    </row>
    <row r="129" spans="3:6" x14ac:dyDescent="0.25">
      <c r="C129" s="53">
        <v>45786</v>
      </c>
      <c r="D129" s="55">
        <v>14209537.371962892</v>
      </c>
      <c r="E129" s="55">
        <v>456847.23490342702</v>
      </c>
      <c r="F129">
        <f>LN(Table3[[#This Row],[Gram]]/E128)</f>
        <v>8.2887408128993112E-4</v>
      </c>
    </row>
    <row r="130" spans="3:6" x14ac:dyDescent="0.25">
      <c r="C130" s="53">
        <v>45790</v>
      </c>
      <c r="D130" s="55">
        <v>13669529.785986328</v>
      </c>
      <c r="E130" s="55">
        <v>439485.58786155796</v>
      </c>
      <c r="F130">
        <f>LN(Table3[[#This Row],[Gram]]/E129)</f>
        <v>-3.8744132436474503E-2</v>
      </c>
    </row>
    <row r="131" spans="3:6" x14ac:dyDescent="0.25">
      <c r="C131" s="53">
        <v>45791</v>
      </c>
      <c r="D131" s="55">
        <v>13376609.471391601</v>
      </c>
      <c r="E131" s="55">
        <v>430067.98106222006</v>
      </c>
      <c r="F131">
        <f>LN(Table3[[#This Row],[Gram]]/E130)</f>
        <v>-2.1661632778318007E-2</v>
      </c>
    </row>
    <row r="132" spans="3:6" x14ac:dyDescent="0.25">
      <c r="C132" s="53">
        <v>45792</v>
      </c>
      <c r="D132" s="55">
        <v>13508195.321206056</v>
      </c>
      <c r="E132" s="55">
        <v>434298.56437162217</v>
      </c>
      <c r="F132">
        <f>LN(Table3[[#This Row],[Gram]]/E131)</f>
        <v>9.788942235444022E-3</v>
      </c>
    </row>
    <row r="133" spans="3:6" x14ac:dyDescent="0.25">
      <c r="C133" s="53">
        <v>45793</v>
      </c>
      <c r="D133" s="55">
        <v>13353772.119999999</v>
      </c>
      <c r="E133" s="55">
        <v>429333.74316532997</v>
      </c>
      <c r="F133">
        <f>LN(Table3[[#This Row],[Gram]]/E132)</f>
        <v>-1.1497661347446026E-2</v>
      </c>
    </row>
    <row r="134" spans="3:6" x14ac:dyDescent="0.25">
      <c r="C134" s="53">
        <v>45797</v>
      </c>
      <c r="D134" s="55">
        <v>13672389.012517089</v>
      </c>
      <c r="E134" s="55">
        <v>439577.51412913069</v>
      </c>
      <c r="F134">
        <f>LN(Table3[[#This Row],[Gram]]/E133)</f>
        <v>2.3579497895196349E-2</v>
      </c>
    </row>
    <row r="135" spans="3:6" x14ac:dyDescent="0.25">
      <c r="C135" s="53">
        <v>45798</v>
      </c>
      <c r="D135" s="55">
        <v>13808914.871748047</v>
      </c>
      <c r="E135" s="55">
        <v>443966.92242932942</v>
      </c>
      <c r="F135">
        <f>LN(Table3[[#This Row],[Gram]]/E134)</f>
        <v>9.9359901554300911E-3</v>
      </c>
    </row>
    <row r="136" spans="3:6" x14ac:dyDescent="0.25">
      <c r="C136" s="53">
        <v>45799</v>
      </c>
      <c r="D136" s="55">
        <v>13727146.284587404</v>
      </c>
      <c r="E136" s="55">
        <v>441338.00130625279</v>
      </c>
      <c r="F136">
        <f>LN(Table3[[#This Row],[Gram]]/E135)</f>
        <v>-5.9390358731699075E-3</v>
      </c>
    </row>
    <row r="137" spans="3:6" x14ac:dyDescent="0.25">
      <c r="C137" s="53">
        <v>45800</v>
      </c>
      <c r="D137" s="55">
        <v>14048210.351865234</v>
      </c>
      <c r="E137" s="55">
        <v>451660.45076559525</v>
      </c>
      <c r="F137">
        <f>LN(Table3[[#This Row],[Gram]]/E136)</f>
        <v>2.3119657657576786E-2</v>
      </c>
    </row>
    <row r="138" spans="3:6" x14ac:dyDescent="0.25">
      <c r="C138" s="53">
        <v>45805</v>
      </c>
      <c r="D138" s="55">
        <v>13596475.243139647</v>
      </c>
      <c r="E138" s="55">
        <v>437136.82976880728</v>
      </c>
      <c r="F138">
        <f>LN(Table3[[#This Row],[Gram]]/E137)</f>
        <v>-3.2684424722914149E-2</v>
      </c>
    </row>
    <row r="139" spans="3:6" x14ac:dyDescent="0.25">
      <c r="C139" s="53">
        <v>45806</v>
      </c>
      <c r="D139" s="55">
        <v>13687814.526972655</v>
      </c>
      <c r="E139" s="55">
        <v>440073.45593508234</v>
      </c>
      <c r="F139">
        <f>LN(Table3[[#This Row],[Gram]]/E138)</f>
        <v>6.6954006000103953E-3</v>
      </c>
    </row>
    <row r="140" spans="3:6" x14ac:dyDescent="0.25">
      <c r="C140" s="53">
        <v>45807</v>
      </c>
      <c r="D140" s="55">
        <v>13506821.229946289</v>
      </c>
      <c r="E140" s="55">
        <v>434254.38631176722</v>
      </c>
      <c r="F140">
        <f>LN(Table3[[#This Row],[Gram]]/E139)</f>
        <v>-1.3311152324638809E-2</v>
      </c>
    </row>
    <row r="141" spans="3:6" x14ac:dyDescent="0.25">
      <c r="C141" s="53">
        <v>45812</v>
      </c>
      <c r="D141" s="55">
        <v>13955191.185000001</v>
      </c>
      <c r="E141" s="55">
        <v>448669.8151056862</v>
      </c>
      <c r="F141">
        <f>LN(Table3[[#This Row],[Gram]]/E140)</f>
        <v>3.2656732874309237E-2</v>
      </c>
    </row>
    <row r="142" spans="3:6" x14ac:dyDescent="0.25">
      <c r="C142" s="53">
        <v>45813</v>
      </c>
      <c r="D142" s="55">
        <v>13764172.794421388</v>
      </c>
      <c r="E142" s="55">
        <v>442528.43124024605</v>
      </c>
      <c r="F142">
        <f>LN(Table3[[#This Row],[Gram]]/E141)</f>
        <v>-1.3782525060826903E-2</v>
      </c>
    </row>
    <row r="143" spans="3:6" x14ac:dyDescent="0.25">
      <c r="C143" s="53">
        <v>45814</v>
      </c>
      <c r="D143" s="55">
        <v>13615294.681918945</v>
      </c>
      <c r="E143" s="55">
        <v>437741.88877556432</v>
      </c>
      <c r="F143">
        <f>LN(Table3[[#This Row],[Gram]]/E142)</f>
        <v>-1.0875272133413251E-2</v>
      </c>
    </row>
    <row r="144" spans="3:6" x14ac:dyDescent="0.25">
      <c r="C144" s="53">
        <v>45818</v>
      </c>
      <c r="D144" s="55">
        <v>13743643.87284668</v>
      </c>
      <c r="E144" s="55">
        <v>441868.41108537035</v>
      </c>
      <c r="F144">
        <f>LN(Table3[[#This Row],[Gram]]/E143)</f>
        <v>9.3826836350780866E-3</v>
      </c>
    </row>
    <row r="145" spans="3:6" x14ac:dyDescent="0.25">
      <c r="C145" s="53">
        <v>45819</v>
      </c>
      <c r="D145" s="55">
        <v>13919236.374633787</v>
      </c>
      <c r="E145" s="55">
        <v>447513.84110967902</v>
      </c>
      <c r="F145">
        <f>LN(Table3[[#This Row],[Gram]]/E144)</f>
        <v>1.2695341814619858E-2</v>
      </c>
    </row>
    <row r="146" spans="3:6" x14ac:dyDescent="0.25">
      <c r="C146" s="53">
        <v>45820</v>
      </c>
      <c r="D146" s="55">
        <v>14168032.939760741</v>
      </c>
      <c r="E146" s="55">
        <v>455512.83642222086</v>
      </c>
      <c r="F146">
        <f>LN(Table3[[#This Row],[Gram]]/E145)</f>
        <v>1.7716430161207469E-2</v>
      </c>
    </row>
    <row r="147" spans="3:6" x14ac:dyDescent="0.25">
      <c r="C147" s="53">
        <v>45821</v>
      </c>
      <c r="D147" s="55">
        <v>14305118.652429199</v>
      </c>
      <c r="E147" s="55">
        <v>459920.2444284042</v>
      </c>
      <c r="F147">
        <f>LN(Table3[[#This Row],[Gram]]/E146)</f>
        <v>9.6291955215872024E-3</v>
      </c>
    </row>
    <row r="148" spans="3:6" x14ac:dyDescent="0.25">
      <c r="C148" s="53">
        <v>45825</v>
      </c>
      <c r="D148" s="55">
        <v>13873004.104042968</v>
      </c>
      <c r="E148" s="55">
        <v>446027.43909462134</v>
      </c>
      <c r="F148">
        <f>LN(Table3[[#This Row],[Gram]]/E147)</f>
        <v>-3.0672620012113339E-2</v>
      </c>
    </row>
    <row r="149" spans="3:6" x14ac:dyDescent="0.25">
      <c r="C149" s="53">
        <v>45826</v>
      </c>
      <c r="D149" s="55">
        <v>13894214.134138184</v>
      </c>
      <c r="E149" s="55">
        <v>446709.35739692562</v>
      </c>
      <c r="F149">
        <f>LN(Table3[[#This Row],[Gram]]/E148)</f>
        <v>1.5277032101966637E-3</v>
      </c>
    </row>
    <row r="150" spans="3:6" x14ac:dyDescent="0.25">
      <c r="C150" s="53">
        <v>45833</v>
      </c>
      <c r="D150" s="55">
        <v>13578394.563549805</v>
      </c>
      <c r="E150" s="55">
        <v>436555.52242152573</v>
      </c>
      <c r="F150">
        <f>LN(Table3[[#This Row],[Gram]]/E149)</f>
        <v>-2.2992609648033978E-2</v>
      </c>
    </row>
    <row r="151" spans="3:6" x14ac:dyDescent="0.25">
      <c r="C151" s="53">
        <v>45834</v>
      </c>
      <c r="D151" s="55">
        <v>13559477.939999999</v>
      </c>
      <c r="E151" s="55">
        <v>435947.33885184181</v>
      </c>
      <c r="F151">
        <f>LN(Table3[[#This Row],[Gram]]/E150)</f>
        <v>-1.3941127191244849E-3</v>
      </c>
    </row>
    <row r="152" spans="3:6" x14ac:dyDescent="0.25">
      <c r="C152" s="53">
        <v>45835</v>
      </c>
      <c r="D152" s="55">
        <v>13235143.321594238</v>
      </c>
      <c r="E152" s="55">
        <v>425519.73873204552</v>
      </c>
      <c r="F152">
        <f>LN(Table3[[#This Row],[Gram]]/E151)</f>
        <v>-2.4210117167354061E-2</v>
      </c>
    </row>
    <row r="153" spans="3:6" x14ac:dyDescent="0.25">
      <c r="C153" s="53">
        <v>45840</v>
      </c>
      <c r="D153" s="55">
        <v>13551733.08</v>
      </c>
      <c r="E153" s="55">
        <v>435698.33582077228</v>
      </c>
      <c r="F153">
        <f>LN(Table3[[#This Row],[Gram]]/E152)</f>
        <v>2.3638777126146305E-2</v>
      </c>
    </row>
    <row r="154" spans="3:6" x14ac:dyDescent="0.25">
      <c r="C154" s="53">
        <v>45841</v>
      </c>
      <c r="D154" s="55">
        <v>13347922.527255859</v>
      </c>
      <c r="E154" s="55">
        <v>429145.67439148342</v>
      </c>
      <c r="F154">
        <f>LN(Table3[[#This Row],[Gram]]/E153)</f>
        <v>-1.5153684928946006E-2</v>
      </c>
    </row>
    <row r="155" spans="3:6" x14ac:dyDescent="0.25">
      <c r="C155" s="53">
        <v>45842</v>
      </c>
      <c r="D155" s="55">
        <v>13244588.025</v>
      </c>
      <c r="E155" s="55">
        <v>425823.39299766003</v>
      </c>
      <c r="F155">
        <f>LN(Table3[[#This Row],[Gram]]/E154)</f>
        <v>-7.7717387509244904E-3</v>
      </c>
    </row>
    <row r="156" spans="3:6" x14ac:dyDescent="0.25">
      <c r="C156" s="53">
        <v>45846</v>
      </c>
      <c r="D156" s="55">
        <v>13301713.029999999</v>
      </c>
      <c r="E156" s="55">
        <v>427660.00455614657</v>
      </c>
      <c r="F156">
        <f>LN(Table3[[#This Row],[Gram]]/E155)</f>
        <v>4.3038081318899591E-3</v>
      </c>
    </row>
    <row r="157" spans="3:6" x14ac:dyDescent="0.25">
      <c r="C157" s="53">
        <v>45847</v>
      </c>
      <c r="D157" s="55">
        <v>13425657.303911133</v>
      </c>
      <c r="E157" s="55">
        <v>431644.90549529606</v>
      </c>
      <c r="F157">
        <f>LN(Table3[[#This Row],[Gram]]/E156)</f>
        <v>9.2747741996381181E-3</v>
      </c>
    </row>
    <row r="158" spans="3:6" x14ac:dyDescent="0.25">
      <c r="C158" s="53">
        <v>45848</v>
      </c>
      <c r="D158" s="55">
        <v>13356150.572827149</v>
      </c>
      <c r="E158" s="55">
        <v>429410.21219940111</v>
      </c>
      <c r="F158">
        <f>LN(Table3[[#This Row],[Gram]]/E157)</f>
        <v>-5.1906045671141826E-3</v>
      </c>
    </row>
    <row r="159" spans="3:6" x14ac:dyDescent="0.25">
      <c r="C159" s="53">
        <v>45849</v>
      </c>
      <c r="D159" s="55">
        <v>13469306</v>
      </c>
      <c r="E159" s="55">
        <v>433048.24366130028</v>
      </c>
      <c r="F159">
        <f>LN(Table3[[#This Row],[Gram]]/E158)</f>
        <v>8.436471380012826E-3</v>
      </c>
    </row>
    <row r="160" spans="3:6" x14ac:dyDescent="0.25">
      <c r="C160" s="53">
        <v>45853</v>
      </c>
      <c r="D160" s="55">
        <v>13358458.537888184</v>
      </c>
      <c r="E160" s="55">
        <v>429484.41499916773</v>
      </c>
      <c r="F160">
        <f>LN(Table3[[#This Row],[Gram]]/E159)</f>
        <v>-8.2636846431969509E-3</v>
      </c>
    </row>
    <row r="161" spans="3:6" x14ac:dyDescent="0.25">
      <c r="C161" s="53">
        <v>45854</v>
      </c>
      <c r="D161" s="55">
        <v>13460421.6</v>
      </c>
      <c r="E161" s="55">
        <v>432762.60356848594</v>
      </c>
      <c r="F161">
        <f>LN(Table3[[#This Row],[Gram]]/E160)</f>
        <v>7.603863611637003E-3</v>
      </c>
    </row>
    <row r="162" spans="3:6" x14ac:dyDescent="0.25">
      <c r="C162" s="53">
        <v>45855</v>
      </c>
      <c r="D162" s="55">
        <v>13466815.979736328</v>
      </c>
      <c r="E162" s="55">
        <v>432968.1876508522</v>
      </c>
      <c r="F162">
        <f>LN(Table3[[#This Row],[Gram]]/E161)</f>
        <v>4.7493767881607592E-4</v>
      </c>
    </row>
    <row r="163" spans="3:6" x14ac:dyDescent="0.25">
      <c r="C163" s="53">
        <v>45856</v>
      </c>
      <c r="D163" s="55">
        <v>13467123.32</v>
      </c>
      <c r="E163" s="55">
        <v>432978.06886977988</v>
      </c>
      <c r="F163">
        <f>LN(Table3[[#This Row],[Gram]]/E162)</f>
        <v>2.2821783346812557E-5</v>
      </c>
    </row>
    <row r="164" spans="3:6" x14ac:dyDescent="0.25">
      <c r="C164" s="53">
        <v>45860</v>
      </c>
      <c r="D164" s="55">
        <v>13847147.587404786</v>
      </c>
      <c r="E164" s="55">
        <v>445196.13278103963</v>
      </c>
      <c r="F164">
        <f>LN(Table3[[#This Row],[Gram]]/E163)</f>
        <v>2.7827855429715578E-2</v>
      </c>
    </row>
    <row r="165" spans="3:6" x14ac:dyDescent="0.25">
      <c r="C165" s="53">
        <v>45861</v>
      </c>
      <c r="D165" s="55">
        <v>13784662.372617189</v>
      </c>
      <c r="E165" s="55">
        <v>443187.18647611735</v>
      </c>
      <c r="F165">
        <f>LN(Table3[[#This Row],[Gram]]/E164)</f>
        <v>-4.5227092534795201E-3</v>
      </c>
    </row>
    <row r="166" spans="3:6" x14ac:dyDescent="0.25">
      <c r="C166" s="53">
        <v>45862</v>
      </c>
      <c r="D166" s="55">
        <v>13662191.060000001</v>
      </c>
      <c r="E166" s="55">
        <v>439249.6423422349</v>
      </c>
      <c r="F166">
        <f>LN(Table3[[#This Row],[Gram]]/E165)</f>
        <v>-8.9243108141325023E-3</v>
      </c>
    </row>
    <row r="167" spans="3:6" x14ac:dyDescent="0.25">
      <c r="C167" s="53">
        <v>45863</v>
      </c>
      <c r="D167" s="55">
        <v>13547075.539999999</v>
      </c>
      <c r="E167" s="55">
        <v>435548.59243259905</v>
      </c>
      <c r="F167">
        <f>LN(Table3[[#This Row],[Gram]]/E166)</f>
        <v>-8.4615442617886529E-3</v>
      </c>
    </row>
    <row r="168" spans="3:6" x14ac:dyDescent="0.25">
      <c r="C168" s="53">
        <v>45867</v>
      </c>
      <c r="D168" s="55">
        <v>13860538.39871582</v>
      </c>
      <c r="E168" s="55">
        <v>445626.65736184904</v>
      </c>
      <c r="F168">
        <f>LN(Table3[[#This Row],[Gram]]/E167)</f>
        <v>2.2875141788109923E-2</v>
      </c>
    </row>
    <row r="169" spans="3:6" x14ac:dyDescent="0.25">
      <c r="C169" s="53">
        <v>45868</v>
      </c>
      <c r="D169" s="55">
        <v>13693357.084870605</v>
      </c>
      <c r="E169" s="55">
        <v>440251.65330940124</v>
      </c>
      <c r="F169">
        <f>LN(Table3[[#This Row],[Gram]]/E168)</f>
        <v>-1.2135007589831673E-2</v>
      </c>
    </row>
    <row r="170" spans="3:6" x14ac:dyDescent="0.25">
      <c r="C170" s="53">
        <v>45869</v>
      </c>
      <c r="D170" s="55">
        <v>13764554.903913572</v>
      </c>
      <c r="E170" s="55">
        <v>442540.71634569071</v>
      </c>
      <c r="F170">
        <f>LN(Table3[[#This Row],[Gram]]/E169)</f>
        <v>5.1859717985808552E-3</v>
      </c>
    </row>
    <row r="171" spans="3:6" x14ac:dyDescent="0.25">
      <c r="C171" s="53">
        <v>45870</v>
      </c>
      <c r="D171" s="55">
        <v>14015848.862570802</v>
      </c>
      <c r="E171" s="55">
        <v>450620.00472470658</v>
      </c>
      <c r="F171">
        <f>LN(Table3[[#This Row],[Gram]]/E170)</f>
        <v>1.809194820667322E-2</v>
      </c>
    </row>
    <row r="172" spans="3:6" x14ac:dyDescent="0.25">
      <c r="C172" s="53">
        <v>45874</v>
      </c>
      <c r="D172" s="55">
        <v>13856929.021865236</v>
      </c>
      <c r="E172" s="55">
        <v>445510.61320145521</v>
      </c>
      <c r="F172">
        <f>LN(Table3[[#This Row],[Gram]]/E171)</f>
        <v>-1.140335301168752E-2</v>
      </c>
    </row>
    <row r="173" spans="3:6" x14ac:dyDescent="0.25">
      <c r="C173" s="53">
        <v>45875</v>
      </c>
      <c r="D173" s="55">
        <v>13834745.6</v>
      </c>
      <c r="E173" s="55">
        <v>444797.39962704107</v>
      </c>
      <c r="F173">
        <f>LN(Table3[[#This Row],[Gram]]/E172)</f>
        <v>-1.6021729933981951E-3</v>
      </c>
    </row>
    <row r="174" spans="3:6" x14ac:dyDescent="0.25">
      <c r="C174" s="53">
        <v>45876</v>
      </c>
      <c r="D174" s="55">
        <v>13769005.002722168</v>
      </c>
      <c r="E174" s="55">
        <v>442683.79034469125</v>
      </c>
      <c r="F174">
        <f>LN(Table3[[#This Row],[Gram]]/E173)</f>
        <v>-4.7631731293690058E-3</v>
      </c>
    </row>
    <row r="175" spans="3:6" x14ac:dyDescent="0.25">
      <c r="C175" s="53">
        <v>45881</v>
      </c>
      <c r="D175" s="55">
        <v>13549213.647895508</v>
      </c>
      <c r="E175" s="55">
        <v>435617.3341976839</v>
      </c>
      <c r="F175">
        <f>LN(Table3[[#This Row],[Gram]]/E174)</f>
        <v>-1.609153951838593E-2</v>
      </c>
    </row>
    <row r="176" spans="3:6" x14ac:dyDescent="0.25">
      <c r="C176" s="53">
        <v>45882</v>
      </c>
      <c r="D176" s="55">
        <v>13492300.747851562</v>
      </c>
      <c r="E176" s="55">
        <v>433787.54197188537</v>
      </c>
      <c r="F176">
        <f>LN(Table3[[#This Row],[Gram]]/E175)</f>
        <v>-4.2093044970829803E-3</v>
      </c>
    </row>
    <row r="177" spans="3:6" x14ac:dyDescent="0.25">
      <c r="C177" s="53">
        <v>45883</v>
      </c>
      <c r="D177" s="55">
        <v>13409638.331679687</v>
      </c>
      <c r="E177" s="55">
        <v>431129.88357879291</v>
      </c>
      <c r="F177">
        <f>LN(Table3[[#This Row],[Gram]]/E176)</f>
        <v>-6.1454808953494361E-3</v>
      </c>
    </row>
    <row r="178" spans="3:6" x14ac:dyDescent="0.25">
      <c r="C178" s="53">
        <v>45884</v>
      </c>
      <c r="D178" s="55">
        <v>13506596.639999999</v>
      </c>
      <c r="E178" s="55">
        <v>434247.16557732219</v>
      </c>
      <c r="F178">
        <f>LN(Table3[[#This Row],[Gram]]/E177)</f>
        <v>7.2044792151039145E-3</v>
      </c>
    </row>
    <row r="179" spans="3:6" x14ac:dyDescent="0.25">
      <c r="C179" s="53">
        <v>45889</v>
      </c>
      <c r="D179" s="55">
        <v>13495366.23381836</v>
      </c>
      <c r="E179" s="55">
        <v>433886.09963431355</v>
      </c>
      <c r="F179">
        <f>LN(Table3[[#This Row],[Gram]]/E178)</f>
        <v>-8.3182151472999122E-4</v>
      </c>
    </row>
    <row r="180" spans="3:6" x14ac:dyDescent="0.25">
      <c r="C180" s="53">
        <v>45890</v>
      </c>
      <c r="D180" s="55">
        <v>13432723.92588379</v>
      </c>
      <c r="E180" s="55">
        <v>431872.10266743525</v>
      </c>
      <c r="F180">
        <f>LN(Table3[[#This Row],[Gram]]/E179)</f>
        <v>-4.6525706473395552E-3</v>
      </c>
    </row>
    <row r="181" spans="3:6" x14ac:dyDescent="0.25">
      <c r="C181" s="53">
        <v>45891</v>
      </c>
      <c r="D181" s="55">
        <v>13612936.598037109</v>
      </c>
      <c r="E181" s="55">
        <v>437666.07461829187</v>
      </c>
      <c r="F181">
        <f>LN(Table3[[#This Row],[Gram]]/E180)</f>
        <v>1.332674712576907E-2</v>
      </c>
    </row>
    <row r="182" spans="3:6" x14ac:dyDescent="0.25">
      <c r="C182" s="53">
        <v>45895</v>
      </c>
      <c r="D182" s="55">
        <v>13613497.576328125</v>
      </c>
      <c r="E182" s="55">
        <v>437684.1104891568</v>
      </c>
      <c r="F182">
        <f>LN(Table3[[#This Row],[Gram]]/E181)</f>
        <v>4.1208355637116201E-5</v>
      </c>
    </row>
    <row r="183" spans="3:6" x14ac:dyDescent="0.25">
      <c r="C183" s="53">
        <v>45896</v>
      </c>
      <c r="D183" s="55">
        <v>13769939.140971681</v>
      </c>
      <c r="E183" s="55">
        <v>442713.82358681143</v>
      </c>
      <c r="F183">
        <f>LN(Table3[[#This Row],[Gram]]/E182)</f>
        <v>1.1426123630203093E-2</v>
      </c>
    </row>
    <row r="184" spans="3:6" x14ac:dyDescent="0.25">
      <c r="C184" s="53">
        <v>45897</v>
      </c>
      <c r="D184" s="55">
        <v>13905550.843850097</v>
      </c>
      <c r="E184" s="55">
        <v>447073.84107779543</v>
      </c>
      <c r="F184">
        <f>LN(Table3[[#This Row],[Gram]]/E183)</f>
        <v>9.8002086570415682E-3</v>
      </c>
    </row>
    <row r="185" spans="3:6" x14ac:dyDescent="0.25">
      <c r="C185" s="53">
        <v>45898</v>
      </c>
      <c r="D185" s="55">
        <v>13961112.736755371</v>
      </c>
      <c r="E185" s="55">
        <v>448860.19741546613</v>
      </c>
      <c r="F185">
        <f>LN(Table3[[#This Row],[Gram]]/E184)</f>
        <v>3.9877013889521402E-3</v>
      </c>
    </row>
    <row r="186" spans="3:6" x14ac:dyDescent="0.25">
      <c r="C186" s="53">
        <v>45903</v>
      </c>
      <c r="D186" s="55">
        <v>14433668.611860352</v>
      </c>
      <c r="E186" s="55">
        <v>464053.22159548261</v>
      </c>
      <c r="F186">
        <f>LN(Table3[[#This Row],[Gram]]/E185)</f>
        <v>3.3287772435412526E-2</v>
      </c>
    </row>
    <row r="187" spans="3:6" x14ac:dyDescent="0.25">
      <c r="C187" s="53">
        <v>45904</v>
      </c>
      <c r="D187" s="55">
        <v>14273398.383452149</v>
      </c>
      <c r="E187" s="55">
        <v>458900.41409943433</v>
      </c>
      <c r="F187">
        <f>LN(Table3[[#This Row],[Gram]]/E186)</f>
        <v>-1.1166023588525592E-2</v>
      </c>
    </row>
    <row r="188" spans="3:6" x14ac:dyDescent="0.25">
      <c r="C188" s="53">
        <v>45905</v>
      </c>
      <c r="D188" s="55">
        <v>14420606.193122558</v>
      </c>
      <c r="E188" s="55">
        <v>463633.25508107053</v>
      </c>
      <c r="F188">
        <f>LN(Table3[[#This Row],[Gram]]/E187)</f>
        <v>1.0260617390073749E-2</v>
      </c>
    </row>
    <row r="189" spans="3:6" x14ac:dyDescent="0.25">
      <c r="C189" s="53">
        <v>45909</v>
      </c>
      <c r="D189" s="55">
        <v>14373875.249641113</v>
      </c>
      <c r="E189" s="55">
        <v>462130.8203602857</v>
      </c>
      <c r="F189">
        <f>LN(Table3[[#This Row],[Gram]]/E188)</f>
        <v>-3.2458292122251324E-3</v>
      </c>
    </row>
    <row r="190" spans="3:6" x14ac:dyDescent="0.25">
      <c r="C190" s="53">
        <v>45910</v>
      </c>
      <c r="D190" s="55">
        <v>14279742.450727539</v>
      </c>
      <c r="E190" s="55">
        <v>459104.38059861975</v>
      </c>
      <c r="F190">
        <f>LN(Table3[[#This Row],[Gram]]/E189)</f>
        <v>-6.5704190335484618E-3</v>
      </c>
    </row>
    <row r="191" spans="3:6" x14ac:dyDescent="0.25">
      <c r="C191" s="53">
        <v>45911</v>
      </c>
      <c r="D191" s="55">
        <v>14262393.919033203</v>
      </c>
      <c r="E191" s="55">
        <v>458546.61235277733</v>
      </c>
      <c r="F191">
        <f>LN(Table3[[#This Row],[Gram]]/E190)</f>
        <v>-1.2156436789485586E-3</v>
      </c>
    </row>
    <row r="192" spans="3:6" x14ac:dyDescent="0.25">
      <c r="C192" s="53">
        <v>45912</v>
      </c>
      <c r="D192" s="55">
        <v>14244264.710830078</v>
      </c>
      <c r="E192" s="55">
        <v>457963.74477434874</v>
      </c>
      <c r="F192">
        <f>LN(Table3[[#This Row],[Gram]]/E191)</f>
        <v>-1.2719281402033206E-3</v>
      </c>
    </row>
    <row r="193" spans="3:6" x14ac:dyDescent="0.25">
      <c r="C193" s="53">
        <v>45916</v>
      </c>
      <c r="D193" s="55">
        <v>14377745.592377931</v>
      </c>
      <c r="E193" s="55">
        <v>462255.25476875086</v>
      </c>
      <c r="F193">
        <f>LN(Table3[[#This Row],[Gram]]/E192)</f>
        <v>9.3272169100040662E-3</v>
      </c>
    </row>
    <row r="194" spans="3:6" x14ac:dyDescent="0.25">
      <c r="C194" s="53">
        <v>45917</v>
      </c>
      <c r="D194" s="55">
        <v>14292453.245546876</v>
      </c>
      <c r="E194" s="55">
        <v>459513.04214154207</v>
      </c>
      <c r="F194">
        <f>LN(Table3[[#This Row],[Gram]]/E193)</f>
        <v>-5.949913283541026E-3</v>
      </c>
    </row>
    <row r="195" spans="3:6" x14ac:dyDescent="0.25">
      <c r="C195" s="53">
        <v>45918</v>
      </c>
      <c r="D195" s="55">
        <v>14137592.247546388</v>
      </c>
      <c r="E195" s="55">
        <v>454534.14544146357</v>
      </c>
      <c r="F195">
        <f>LN(Table3[[#This Row],[Gram]]/E194)</f>
        <v>-1.0894286446431081E-2</v>
      </c>
    </row>
    <row r="196" spans="3:6" x14ac:dyDescent="0.25">
      <c r="C196" s="53">
        <v>45919</v>
      </c>
      <c r="D196" s="55">
        <v>14291130.174999999</v>
      </c>
      <c r="E196" s="55">
        <v>459470.50443569699</v>
      </c>
      <c r="F196">
        <f>LN(Table3[[#This Row],[Gram]]/E195)</f>
        <v>1.0801710891550055E-2</v>
      </c>
    </row>
    <row r="197" spans="3:6" x14ac:dyDescent="0.25">
      <c r="C197" s="53">
        <v>45923</v>
      </c>
      <c r="D197" s="55">
        <v>14563476.472187499</v>
      </c>
      <c r="E197" s="55">
        <v>468226.64121547656</v>
      </c>
      <c r="F197">
        <f>LN(Table3[[#This Row],[Gram]]/E196)</f>
        <v>1.8877705624141719E-2</v>
      </c>
    </row>
    <row r="198" spans="3:6" x14ac:dyDescent="0.25">
      <c r="C198" s="53">
        <v>45924</v>
      </c>
      <c r="D198" s="55">
        <v>14347946.862436522</v>
      </c>
      <c r="E198" s="55">
        <v>461297.2033543376</v>
      </c>
      <c r="F198">
        <f>LN(Table3[[#This Row],[Gram]]/E197)</f>
        <v>-1.490992678111076E-2</v>
      </c>
    </row>
    <row r="199" spans="3:6" x14ac:dyDescent="0.25">
      <c r="C199" s="53">
        <v>45925</v>
      </c>
      <c r="D199" s="55">
        <v>14503880.114970705</v>
      </c>
      <c r="E199" s="55">
        <v>466310.57383818598</v>
      </c>
      <c r="F199">
        <f>LN(Table3[[#This Row],[Gram]]/E198)</f>
        <v>1.0809351584597027E-2</v>
      </c>
    </row>
    <row r="200" spans="3:6" x14ac:dyDescent="0.25">
      <c r="C200" s="53">
        <v>45926</v>
      </c>
      <c r="D200" s="55">
        <v>14719404.101374511</v>
      </c>
      <c r="E200" s="55">
        <v>473239.83090451517</v>
      </c>
      <c r="F200">
        <f>LN(Table3[[#This Row],[Gram]]/E199)</f>
        <v>1.4750422472208032E-2</v>
      </c>
    </row>
    <row r="201" spans="3:6" x14ac:dyDescent="0.25">
      <c r="C201" s="53">
        <v>45930</v>
      </c>
      <c r="D201" s="55">
        <v>14984074.822492676</v>
      </c>
      <c r="E201" s="55">
        <v>481749.19218332134</v>
      </c>
      <c r="F201">
        <f>LN(Table3[[#This Row],[Gram]]/E200)</f>
        <v>1.7821328384167869E-2</v>
      </c>
    </row>
    <row r="202" spans="3:6" x14ac:dyDescent="0.25">
      <c r="C202" s="53">
        <v>45931</v>
      </c>
      <c r="D202" s="55">
        <v>15174329.625</v>
      </c>
      <c r="E202" s="55">
        <v>487866.02612219867</v>
      </c>
      <c r="F202">
        <f>LN(Table3[[#This Row],[Gram]]/E201)</f>
        <v>1.2617201071100049E-2</v>
      </c>
    </row>
    <row r="203" spans="3:6" x14ac:dyDescent="0.25">
      <c r="C203" s="53">
        <v>45932</v>
      </c>
      <c r="D203" s="55">
        <v>14936432.810058594</v>
      </c>
      <c r="E203" s="55">
        <v>480217.46591553371</v>
      </c>
      <c r="F203">
        <f>LN(Table3[[#This Row],[Gram]]/E202)</f>
        <v>-1.5801776231567963E-2</v>
      </c>
    </row>
    <row r="204" spans="3:6" x14ac:dyDescent="0.25">
      <c r="C204" s="53">
        <v>45933</v>
      </c>
      <c r="D204" s="55">
        <v>15125961.502314452</v>
      </c>
      <c r="E204" s="55">
        <v>486310.95486773533</v>
      </c>
      <c r="F204">
        <f>LN(Table3[[#This Row],[Gram]]/E203)</f>
        <v>1.2609188835925983E-2</v>
      </c>
    </row>
    <row r="205" spans="3:6" x14ac:dyDescent="0.25">
      <c r="C205" s="53">
        <v>45937</v>
      </c>
      <c r="D205" s="55">
        <v>15322595.730288086</v>
      </c>
      <c r="E205" s="55">
        <v>492632.89209803345</v>
      </c>
      <c r="F205">
        <f>LN(Table3[[#This Row],[Gram]]/E204)</f>
        <v>1.2916011754673797E-2</v>
      </c>
    </row>
    <row r="206" spans="3:6" x14ac:dyDescent="0.25">
      <c r="C206" s="53">
        <v>45938</v>
      </c>
      <c r="D206" s="55">
        <v>15637624.670844726</v>
      </c>
      <c r="E206" s="55">
        <v>502761.30772765336</v>
      </c>
      <c r="F206">
        <f>LN(Table3[[#This Row],[Gram]]/E205)</f>
        <v>2.0351264265244157E-2</v>
      </c>
    </row>
    <row r="207" spans="3:6" x14ac:dyDescent="0.25">
      <c r="C207" s="53">
        <v>45939</v>
      </c>
      <c r="D207" s="55">
        <v>15310854.929443359</v>
      </c>
      <c r="E207" s="55">
        <v>492255.41658556188</v>
      </c>
      <c r="F207">
        <f>LN(Table3[[#This Row],[Gram]]/E206)</f>
        <v>-2.1117798962887409E-2</v>
      </c>
    </row>
    <row r="208" spans="3:6" x14ac:dyDescent="0.25">
      <c r="C208" s="53">
        <v>45940</v>
      </c>
      <c r="D208" s="55">
        <v>15486090.360629883</v>
      </c>
      <c r="E208" s="55">
        <v>497889.36652348406</v>
      </c>
      <c r="F208">
        <f>LN(Table3[[#This Row],[Gram]]/E207)</f>
        <v>1.1380175581498135E-2</v>
      </c>
    </row>
    <row r="209" spans="3:6" x14ac:dyDescent="0.25">
      <c r="C209" s="53">
        <v>45945</v>
      </c>
      <c r="D209" s="55">
        <v>16429042.154887695</v>
      </c>
      <c r="E209" s="55">
        <v>528205.97068709997</v>
      </c>
      <c r="F209">
        <f>LN(Table3[[#This Row],[Gram]]/E208)</f>
        <v>5.9108406867780225E-2</v>
      </c>
    </row>
    <row r="210" spans="3:6" x14ac:dyDescent="0.25">
      <c r="C210" s="53">
        <v>45946</v>
      </c>
      <c r="D210" s="55">
        <v>16702025.994140625</v>
      </c>
      <c r="E210" s="55">
        <v>536982.60492025199</v>
      </c>
      <c r="F210">
        <f>LN(Table3[[#This Row],[Gram]]/E209)</f>
        <v>1.6479397275146641E-2</v>
      </c>
    </row>
    <row r="211" spans="3:6" x14ac:dyDescent="0.25">
      <c r="C211" s="53">
        <v>45947</v>
      </c>
      <c r="D211" s="55">
        <v>16244535.214379884</v>
      </c>
      <c r="E211" s="55">
        <v>522273.93480268045</v>
      </c>
      <c r="F211">
        <f>LN(Table3[[#This Row],[Gram]]/E210)</f>
        <v>-2.7773471362433202E-2</v>
      </c>
    </row>
    <row r="212" spans="3:6" x14ac:dyDescent="0.25">
      <c r="C212" s="53">
        <v>45951</v>
      </c>
      <c r="D212" s="55">
        <v>15849075.512680665</v>
      </c>
      <c r="E212" s="55">
        <v>509559.61015524366</v>
      </c>
      <c r="F212">
        <f>LN(Table3[[#This Row],[Gram]]/E211)</f>
        <v>-2.4645386369850756E-2</v>
      </c>
    </row>
    <row r="213" spans="3:6" x14ac:dyDescent="0.25">
      <c r="C213" s="53">
        <v>45952</v>
      </c>
      <c r="D213" s="55">
        <v>15678520.661425781</v>
      </c>
      <c r="E213" s="55">
        <v>504076.1443564978</v>
      </c>
      <c r="F213">
        <f>LN(Table3[[#This Row],[Gram]]/E212)</f>
        <v>-1.0819506447417257E-2</v>
      </c>
    </row>
    <row r="214" spans="3:6" x14ac:dyDescent="0.25">
      <c r="C214" s="53">
        <v>45953</v>
      </c>
      <c r="D214" s="55">
        <v>16092832.91</v>
      </c>
      <c r="E214" s="55">
        <v>517396.59246068593</v>
      </c>
      <c r="F214">
        <f>LN(Table3[[#This Row],[Gram]]/E213)</f>
        <v>2.608234710823383E-2</v>
      </c>
    </row>
    <row r="215" spans="3:6" x14ac:dyDescent="0.25">
      <c r="C215" s="53">
        <v>45954</v>
      </c>
      <c r="D215" s="55">
        <v>16015468.804238282</v>
      </c>
      <c r="E215" s="55">
        <v>514909.27870283241</v>
      </c>
      <c r="F215">
        <f>LN(Table3[[#This Row],[Gram]]/E214)</f>
        <v>-4.8189565530336667E-3</v>
      </c>
    </row>
    <row r="216" spans="3:6" x14ac:dyDescent="0.25">
      <c r="C216" s="53">
        <v>45958</v>
      </c>
      <c r="D216" s="55">
        <v>15246865.852294922</v>
      </c>
      <c r="E216" s="55">
        <v>490198.11998300208</v>
      </c>
      <c r="F216">
        <f>LN(Table3[[#This Row],[Gram]]/E215)</f>
        <v>-4.918109140487667E-2</v>
      </c>
    </row>
    <row r="217" spans="3:6" x14ac:dyDescent="0.25">
      <c r="C217" s="53">
        <v>45959</v>
      </c>
      <c r="D217" s="55">
        <v>15436199.918798828</v>
      </c>
      <c r="E217" s="55">
        <v>496285.35157197696</v>
      </c>
      <c r="F217">
        <f>LN(Table3[[#This Row],[Gram]]/E216)</f>
        <v>1.2341431006110463E-2</v>
      </c>
    </row>
    <row r="218" spans="3:6" x14ac:dyDescent="0.25">
      <c r="C218" s="53">
        <v>45960</v>
      </c>
      <c r="D218" s="55">
        <v>15546211.066711426</v>
      </c>
      <c r="E218" s="55">
        <v>499822.29210823873</v>
      </c>
      <c r="F218">
        <f>LN(Table3[[#This Row],[Gram]]/E217)</f>
        <v>7.1015525747361967E-3</v>
      </c>
    </row>
    <row r="219" spans="3:6" x14ac:dyDescent="0.25">
      <c r="C219" s="53">
        <v>45961</v>
      </c>
      <c r="D219" s="55">
        <v>15412786.335014649</v>
      </c>
      <c r="E219" s="55">
        <v>495532.58737346844</v>
      </c>
      <c r="F219">
        <f>LN(Table3[[#This Row],[Gram]]/E218)</f>
        <v>-8.6195012092409561E-3</v>
      </c>
    </row>
    <row r="220" spans="3:6" x14ac:dyDescent="0.25">
      <c r="C220" s="53">
        <v>45966</v>
      </c>
      <c r="D220" s="55">
        <v>15413592.530085448</v>
      </c>
      <c r="E220" s="55">
        <v>495558.50714687462</v>
      </c>
      <c r="F220">
        <f>LN(Table3[[#This Row],[Gram]]/E219)</f>
        <v>5.230553186353685E-5</v>
      </c>
    </row>
    <row r="221" spans="3:6" x14ac:dyDescent="0.25">
      <c r="C221" s="53">
        <v>45967</v>
      </c>
      <c r="D221" s="55">
        <v>15280706.278051756</v>
      </c>
      <c r="E221" s="55">
        <v>491286.11493528454</v>
      </c>
      <c r="F221">
        <f>LN(Table3[[#This Row],[Gram]]/E220)</f>
        <v>-8.6587468971566512E-3</v>
      </c>
    </row>
    <row r="222" spans="3:6" x14ac:dyDescent="0.25">
      <c r="C222" s="53">
        <v>45968</v>
      </c>
      <c r="D222" s="55">
        <v>15225955.392216796</v>
      </c>
      <c r="E222" s="55">
        <v>489525.83308039687</v>
      </c>
      <c r="F222">
        <f>LN(Table3[[#This Row],[Gram]]/E221)</f>
        <v>-3.58944188724078E-3</v>
      </c>
    </row>
    <row r="223" spans="3:6" x14ac:dyDescent="0.25">
      <c r="C223" s="53">
        <v>45972</v>
      </c>
      <c r="D223" s="55">
        <v>15445386.58944336</v>
      </c>
      <c r="E223" s="55">
        <v>496580.70989167871</v>
      </c>
      <c r="F223">
        <f>LN(Table3[[#This Row],[Gram]]/E222)</f>
        <v>1.43087929595902E-2</v>
      </c>
    </row>
    <row r="224" spans="3:6" x14ac:dyDescent="0.25">
      <c r="C224" s="53">
        <v>45974</v>
      </c>
      <c r="D224" s="55">
        <v>15574053.43574707</v>
      </c>
      <c r="E224" s="55">
        <v>500717.44505897391</v>
      </c>
      <c r="F224">
        <f>LN(Table3[[#This Row],[Gram]]/E223)</f>
        <v>8.2959321076996172E-3</v>
      </c>
    </row>
    <row r="225" spans="3:6" x14ac:dyDescent="0.25">
      <c r="C225" s="53">
        <v>45975</v>
      </c>
      <c r="D225" s="55">
        <v>15204237.323242188</v>
      </c>
      <c r="E225" s="55">
        <v>488827.58094883425</v>
      </c>
      <c r="F225">
        <f>LN(Table3[[#This Row],[Gram]]/E224)</f>
        <v>-2.4032127967113535E-2</v>
      </c>
    </row>
    <row r="226" spans="3:6" x14ac:dyDescent="0.25">
      <c r="C226" s="53">
        <v>45980</v>
      </c>
      <c r="D226" s="55">
        <v>15240607.452502443</v>
      </c>
      <c r="E226" s="55">
        <v>489996.90775734896</v>
      </c>
      <c r="F226">
        <f>LN(Table3[[#This Row],[Gram]]/E225)</f>
        <v>2.3892482835600626E-3</v>
      </c>
    </row>
    <row r="227" spans="3:6" x14ac:dyDescent="0.25">
      <c r="C227" s="53">
        <v>45981</v>
      </c>
      <c r="D227" s="55">
        <v>15076915.244999999</v>
      </c>
      <c r="E227" s="55">
        <v>484734.0810786786</v>
      </c>
      <c r="F227">
        <f>LN(Table3[[#This Row],[Gram]]/E226)</f>
        <v>-1.0798626247674942E-2</v>
      </c>
    </row>
    <row r="228" spans="3:6" x14ac:dyDescent="0.25">
      <c r="C228" s="53">
        <v>45982</v>
      </c>
      <c r="D228" s="55">
        <v>15252035.226320801</v>
      </c>
      <c r="E228" s="55">
        <v>490364.31921722658</v>
      </c>
      <c r="F228">
        <f>LN(Table3[[#This Row],[Gram]]/E227)</f>
        <v>1.1548169307864793E-2</v>
      </c>
    </row>
    <row r="229" spans="3:6" x14ac:dyDescent="0.25">
      <c r="C229" s="53">
        <v>45986</v>
      </c>
      <c r="D229" s="55">
        <v>15745890.070986329</v>
      </c>
      <c r="E229" s="55">
        <v>506242.1211697571</v>
      </c>
      <c r="F229">
        <f>LN(Table3[[#This Row],[Gram]]/E228)</f>
        <v>3.1866431732512981E-2</v>
      </c>
    </row>
    <row r="230" spans="3:6" x14ac:dyDescent="0.25">
      <c r="C230" s="53">
        <v>45987</v>
      </c>
      <c r="D230" s="55">
        <v>15853418.375390625</v>
      </c>
      <c r="E230" s="55">
        <v>509699.23643361393</v>
      </c>
      <c r="F230">
        <f>LN(Table3[[#This Row],[Gram]]/E229)</f>
        <v>6.8057640964890196E-3</v>
      </c>
    </row>
    <row r="231" spans="3:6" x14ac:dyDescent="0.25">
      <c r="C231" s="53">
        <v>45993</v>
      </c>
      <c r="D231" s="55">
        <v>15843895.007573241</v>
      </c>
      <c r="E231" s="55">
        <v>509393.0530484374</v>
      </c>
      <c r="F231">
        <f>LN(Table3[[#This Row],[Gram]]/E230)</f>
        <v>-6.0089434008972638E-4</v>
      </c>
    </row>
    <row r="232" spans="3:6" x14ac:dyDescent="0.25">
      <c r="C232" s="53">
        <v>45994</v>
      </c>
      <c r="D232" s="55">
        <v>16031498.89236328</v>
      </c>
      <c r="E232" s="55">
        <v>515424.65800361201</v>
      </c>
      <c r="F232">
        <f>LN(Table3[[#This Row],[Gram]]/E231)</f>
        <v>1.1771214598748962E-2</v>
      </c>
    </row>
    <row r="233" spans="3:6" x14ac:dyDescent="0.25">
      <c r="C233" s="53">
        <v>45995</v>
      </c>
      <c r="D233" s="55">
        <v>15923972.701562501</v>
      </c>
      <c r="E233" s="55">
        <v>511967.61069368623</v>
      </c>
      <c r="F233">
        <f>LN(Table3[[#This Row],[Gram]]/E232)</f>
        <v>-6.7297768587304971E-3</v>
      </c>
    </row>
    <row r="234" spans="3:6" x14ac:dyDescent="0.25">
      <c r="C234" s="53">
        <v>45996</v>
      </c>
      <c r="D234" s="55">
        <v>15831740.801015625</v>
      </c>
      <c r="E234" s="55">
        <v>509002.28623366071</v>
      </c>
      <c r="F234">
        <f>LN(Table3[[#This Row],[Gram]]/E233)</f>
        <v>-5.8088545159631537E-3</v>
      </c>
    </row>
    <row r="235" spans="3:6" x14ac:dyDescent="0.25">
      <c r="C235" s="53">
        <v>46001</v>
      </c>
      <c r="D235" s="55">
        <v>16203726.798916016</v>
      </c>
      <c r="E235" s="55">
        <v>520961.91377923434</v>
      </c>
      <c r="F235">
        <f>LN(Table3[[#This Row],[Gram]]/E234)</f>
        <v>2.3224428771463457E-2</v>
      </c>
    </row>
    <row r="236" spans="3:6" x14ac:dyDescent="0.25">
      <c r="C236" s="53">
        <v>46002</v>
      </c>
      <c r="D236" s="55">
        <v>16517516.940000001</v>
      </c>
      <c r="E236" s="55">
        <v>531050.50108095957</v>
      </c>
      <c r="F236">
        <f>LN(Table3[[#This Row],[Gram]]/E235)</f>
        <v>1.9180185403453696E-2</v>
      </c>
    </row>
    <row r="237" spans="3:6" x14ac:dyDescent="0.25">
      <c r="C237" s="53">
        <v>46003</v>
      </c>
      <c r="D237" s="55">
        <v>16387638.471166991</v>
      </c>
      <c r="E237" s="55">
        <v>526874.81134478806</v>
      </c>
      <c r="F237">
        <f>LN(Table3[[#This Row],[Gram]]/E236)</f>
        <v>-7.8941516419499397E-3</v>
      </c>
    </row>
    <row r="238" spans="3:6" x14ac:dyDescent="0.25">
      <c r="C238" s="53">
        <v>46007</v>
      </c>
      <c r="D238" s="55">
        <v>16432816.155000001</v>
      </c>
      <c r="E238" s="55">
        <v>528327.30760826077</v>
      </c>
      <c r="F238">
        <f>LN(Table3[[#This Row],[Gram]]/E237)</f>
        <v>2.7530217287692563E-3</v>
      </c>
    </row>
    <row r="239" spans="3:6" x14ac:dyDescent="0.25">
      <c r="C239" s="53">
        <v>46008</v>
      </c>
      <c r="D239" s="55">
        <v>16725267.25</v>
      </c>
      <c r="E239" s="55">
        <v>537729.82864732342</v>
      </c>
      <c r="F239">
        <f>LN(Table3[[#This Row],[Gram]]/E238)</f>
        <v>1.7640264372742936E-2</v>
      </c>
    </row>
    <row r="240" spans="3:6" x14ac:dyDescent="0.25">
      <c r="C240" s="53">
        <v>46009</v>
      </c>
      <c r="D240" s="55">
        <v>16779848.414999999</v>
      </c>
      <c r="E240" s="55">
        <v>539484.65385065891</v>
      </c>
      <c r="F240">
        <f>LN(Table3[[#This Row],[Gram]]/E239)</f>
        <v>3.2580823673476244E-3</v>
      </c>
    </row>
    <row r="241" spans="3:6" x14ac:dyDescent="0.25">
      <c r="C241" s="53">
        <v>46010</v>
      </c>
      <c r="D241" s="55">
        <v>16899159.815610353</v>
      </c>
      <c r="E241" s="55">
        <v>543320.6044544304</v>
      </c>
      <c r="F241">
        <f>LN(Table3[[#This Row],[Gram]]/E240)</f>
        <v>7.0852383133324466E-3</v>
      </c>
    </row>
    <row r="242" spans="3:6" x14ac:dyDescent="0.25">
      <c r="C242" s="53">
        <v>46014</v>
      </c>
      <c r="D242" s="55">
        <v>17001421.711259767</v>
      </c>
      <c r="E242" s="55">
        <v>546608.40074508218</v>
      </c>
      <c r="F242">
        <f>LN(Table3[[#This Row],[Gram]]/E241)</f>
        <v>6.0330649929684795E-3</v>
      </c>
    </row>
    <row r="243" spans="3:6" x14ac:dyDescent="0.25">
      <c r="C243" s="53">
        <v>46015</v>
      </c>
      <c r="D243" s="55">
        <v>16844726.45513672</v>
      </c>
      <c r="E243" s="55">
        <v>541570.53127696388</v>
      </c>
      <c r="F243">
        <f>LN(Table3[[#This Row],[Gram]]/E242)</f>
        <v>-9.2593328420473055E-3</v>
      </c>
    </row>
    <row r="244" spans="3:6" x14ac:dyDescent="0.25">
      <c r="C244" s="53">
        <v>46021</v>
      </c>
      <c r="D244" s="55">
        <v>16199829.959008789</v>
      </c>
      <c r="E244" s="55">
        <v>520836.6274669586</v>
      </c>
      <c r="F244">
        <f>LN(Table3[[#This Row],[Gram]]/E243)</f>
        <v>-3.9036891965703917E-2</v>
      </c>
    </row>
    <row r="245" spans="3:6" x14ac:dyDescent="0.25">
      <c r="C245" s="53">
        <v>46022</v>
      </c>
      <c r="D245" s="55">
        <v>16251625.614902344</v>
      </c>
      <c r="E245" s="55">
        <v>522501.89647294814</v>
      </c>
      <c r="F245">
        <f>LN(Table3[[#This Row],[Gram]]/E244)</f>
        <v>3.1921957866706025E-3</v>
      </c>
    </row>
    <row r="246" spans="3:6" x14ac:dyDescent="0.25">
      <c r="C246" s="53">
        <v>46028</v>
      </c>
      <c r="D246" s="55">
        <v>16898029.202333987</v>
      </c>
      <c r="E246" s="55">
        <v>543284.25439351483</v>
      </c>
      <c r="F246">
        <f>LN(Table3[[#This Row],[Gram]]/E245)</f>
        <v>3.900405826999194E-2</v>
      </c>
    </row>
    <row r="247" spans="3:6" x14ac:dyDescent="0.25">
      <c r="C247" s="53">
        <v>46029</v>
      </c>
      <c r="D247" s="55">
        <v>16597045.089433596</v>
      </c>
      <c r="E247" s="55">
        <v>533607.39045847103</v>
      </c>
      <c r="F247">
        <f>LN(Table3[[#This Row],[Gram]]/E246)</f>
        <v>-1.7972327025626827E-2</v>
      </c>
    </row>
    <row r="248" spans="3:6" x14ac:dyDescent="0.25">
      <c r="C248" s="53">
        <v>46030</v>
      </c>
      <c r="D248" s="55">
        <v>16681169.58319336</v>
      </c>
      <c r="E248" s="55">
        <v>536312.05573755538</v>
      </c>
      <c r="F248">
        <f>LN(Table3[[#This Row],[Gram]]/E247)</f>
        <v>5.0558405120655703E-3</v>
      </c>
    </row>
    <row r="249" spans="3:6" x14ac:dyDescent="0.25">
      <c r="C249" s="53">
        <v>46031</v>
      </c>
      <c r="D249" s="55">
        <v>16769787.971572265</v>
      </c>
      <c r="E249" s="55">
        <v>539161.20308364579</v>
      </c>
      <c r="F249">
        <f>LN(Table3[[#This Row],[Gram]]/E248)</f>
        <v>5.2984190692216731E-3</v>
      </c>
    </row>
    <row r="250" spans="3:6" x14ac:dyDescent="0.25">
      <c r="C250" s="53">
        <v>46036</v>
      </c>
      <c r="D250" s="55">
        <v>16947246.496523436</v>
      </c>
      <c r="E250" s="55">
        <v>544866.62714579341</v>
      </c>
      <c r="F250">
        <f>LN(Table3[[#This Row],[Gram]]/E249)</f>
        <v>1.0526439609478843E-2</v>
      </c>
    </row>
    <row r="251" spans="3:6" x14ac:dyDescent="0.25">
      <c r="C251" s="53">
        <v>46037</v>
      </c>
      <c r="D251" s="55">
        <v>16873314.39410156</v>
      </c>
      <c r="E251" s="55">
        <v>542489.6548575419</v>
      </c>
      <c r="F251">
        <f>LN(Table3[[#This Row],[Gram]]/E250)</f>
        <v>-4.3720280350361771E-3</v>
      </c>
    </row>
    <row r="252" spans="3:6" x14ac:dyDescent="0.25">
      <c r="C252" s="53">
        <v>46038</v>
      </c>
      <c r="D252" s="55">
        <v>16918898.727910157</v>
      </c>
      <c r="E252" s="55">
        <v>543955.2252213218</v>
      </c>
      <c r="F252">
        <f>LN(Table3[[#This Row],[Gram]]/E251)</f>
        <v>2.6979210443457869E-3</v>
      </c>
    </row>
    <row r="253" spans="3:6" x14ac:dyDescent="0.25">
      <c r="C253" s="53">
        <v>46043</v>
      </c>
      <c r="D253" s="55">
        <v>17795373.726669922</v>
      </c>
      <c r="E253" s="55">
        <v>572134.5507801855</v>
      </c>
      <c r="F253">
        <f>LN(Table3[[#This Row],[Gram]]/E252)</f>
        <v>5.0507255464450215E-2</v>
      </c>
    </row>
    <row r="254" spans="3:6" x14ac:dyDescent="0.25">
      <c r="C254" s="53">
        <v>46044</v>
      </c>
      <c r="D254" s="55">
        <v>18011122.803369142</v>
      </c>
      <c r="E254" s="55">
        <v>579071.04466755758</v>
      </c>
      <c r="F254">
        <f>LN(Table3[[#This Row],[Gram]]/E253)</f>
        <v>1.2050980053038495E-2</v>
      </c>
    </row>
    <row r="255" spans="3:6" x14ac:dyDescent="0.25">
      <c r="C255" s="53">
        <v>46045</v>
      </c>
      <c r="D255" s="55">
        <v>18065248.855048828</v>
      </c>
      <c r="E255" s="55">
        <v>580811.23763787164</v>
      </c>
      <c r="F255">
        <f>LN(Table3[[#This Row],[Gram]]/E254)</f>
        <v>3.0006394658537426E-3</v>
      </c>
    </row>
    <row r="256" spans="3:6" x14ac:dyDescent="0.25">
      <c r="C256" s="53">
        <v>46049</v>
      </c>
      <c r="D256" s="55">
        <v>18673813.63901367</v>
      </c>
      <c r="E256" s="55">
        <v>600377.04977771721</v>
      </c>
      <c r="F256">
        <f>LN(Table3[[#This Row],[Gram]]/E255)</f>
        <v>3.3132062268044063E-2</v>
      </c>
    </row>
    <row r="257" spans="3:6" x14ac:dyDescent="0.25">
      <c r="C257" s="53">
        <v>46050</v>
      </c>
      <c r="D257" s="55">
        <v>19502413.103237305</v>
      </c>
      <c r="E257" s="55">
        <v>627017.14115887217</v>
      </c>
      <c r="F257">
        <f>LN(Table3[[#This Row],[Gram]]/E256)</f>
        <v>4.341600448913719E-2</v>
      </c>
    </row>
    <row r="258" spans="3:6" x14ac:dyDescent="0.25">
      <c r="C258" s="53">
        <v>46051</v>
      </c>
      <c r="D258" s="55">
        <v>19497094.489995115</v>
      </c>
      <c r="E258" s="55">
        <v>626846.14377242594</v>
      </c>
      <c r="F258">
        <f>LN(Table3[[#This Row],[Gram]]/E257)</f>
        <v>-2.7275284245318389E-4</v>
      </c>
    </row>
    <row r="259" spans="3:6" x14ac:dyDescent="0.25">
      <c r="C259" s="53">
        <v>46052</v>
      </c>
      <c r="D259" s="55">
        <v>17258954.573452149</v>
      </c>
      <c r="E259" s="55">
        <v>554888.27453052287</v>
      </c>
      <c r="F259">
        <f>LN(Table3[[#This Row],[Gram]]/E258)</f>
        <v>-0.12193433945896909</v>
      </c>
    </row>
    <row r="260" spans="3:6" x14ac:dyDescent="0.25">
      <c r="C260" s="53">
        <v>46056</v>
      </c>
      <c r="D260" s="55">
        <v>17791408.900624998</v>
      </c>
      <c r="E260" s="55">
        <v>572007.07866282645</v>
      </c>
      <c r="F260">
        <f>LN(Table3[[#This Row],[Gram]]/E259)</f>
        <v>3.0384580258667283E-2</v>
      </c>
    </row>
    <row r="261" spans="3:6" x14ac:dyDescent="0.25">
      <c r="C261" s="53">
        <v>46057</v>
      </c>
      <c r="D261" s="55">
        <v>17821688.446289063</v>
      </c>
      <c r="E261" s="55">
        <v>572980.588661685</v>
      </c>
      <c r="F261">
        <f>LN(Table3[[#This Row],[Gram]]/E260)</f>
        <v>1.7004728718475826E-3</v>
      </c>
    </row>
    <row r="262" spans="3:6" x14ac:dyDescent="0.25">
      <c r="C262" s="53">
        <v>46058</v>
      </c>
      <c r="D262" s="55">
        <v>17719462.346049804</v>
      </c>
      <c r="E262" s="55">
        <v>569693.9432201935</v>
      </c>
      <c r="F262">
        <f>LN(Table3[[#This Row],[Gram]]/E261)</f>
        <v>-5.7525645549236339E-3</v>
      </c>
    </row>
    <row r="263" spans="3:6" x14ac:dyDescent="0.25">
      <c r="C263" s="53">
        <v>46059</v>
      </c>
      <c r="D263" s="55">
        <v>18278593.321044922</v>
      </c>
      <c r="E263" s="55">
        <v>587670.42149593134</v>
      </c>
      <c r="F263">
        <f>LN(Table3[[#This Row],[Gram]]/E262)</f>
        <v>3.1067008190694859E-2</v>
      </c>
    </row>
    <row r="264" spans="3:6" x14ac:dyDescent="0.25">
      <c r="C264" s="53">
        <v>46063</v>
      </c>
      <c r="D264" s="55">
        <v>18273376.506738283</v>
      </c>
      <c r="E264" s="55">
        <v>587502.69702126295</v>
      </c>
      <c r="F264">
        <f>LN(Table3[[#This Row],[Gram]]/E263)</f>
        <v>-2.8544641323797798E-4</v>
      </c>
    </row>
    <row r="265" spans="3:6" x14ac:dyDescent="0.25">
      <c r="C265" s="53">
        <v>46064</v>
      </c>
      <c r="D265" s="55">
        <v>18560585.593393553</v>
      </c>
      <c r="E265" s="55">
        <v>596736.68357852369</v>
      </c>
      <c r="F265">
        <f>LN(Table3[[#This Row],[Gram]]/E264)</f>
        <v>1.5595113379477917E-2</v>
      </c>
    </row>
    <row r="266" spans="3:6" x14ac:dyDescent="0.25">
      <c r="C266" s="53">
        <v>46065</v>
      </c>
      <c r="D266" s="55">
        <v>18074952.653994143</v>
      </c>
      <c r="E266" s="55">
        <v>581123.22201851546</v>
      </c>
      <c r="F266">
        <f>LN(Table3[[#This Row],[Gram]]/E265)</f>
        <v>-2.651312960652108E-2</v>
      </c>
    </row>
    <row r="267" spans="3:6" x14ac:dyDescent="0.25">
      <c r="C267" s="53">
        <v>46066</v>
      </c>
      <c r="D267" s="55">
        <v>18409547.16</v>
      </c>
      <c r="E267" s="55">
        <v>591880.68518436502</v>
      </c>
      <c r="F267">
        <f>LN(Table3[[#This Row],[Gram]]/E266)</f>
        <v>1.8342248819118539E-2</v>
      </c>
    </row>
    <row r="268" spans="3:6" x14ac:dyDescent="0.25">
      <c r="C268" s="53">
        <v>46071</v>
      </c>
      <c r="D268" s="55">
        <v>18271832.490000002</v>
      </c>
      <c r="E268" s="55">
        <v>587453.05573041283</v>
      </c>
      <c r="F268">
        <f>LN(Table3[[#This Row],[Gram]]/E267)</f>
        <v>-7.508731588336902E-3</v>
      </c>
    </row>
    <row r="269" spans="3:6" x14ac:dyDescent="0.25">
      <c r="C269" s="53">
        <v>46072</v>
      </c>
      <c r="D269" s="55">
        <v>18257621.68067871</v>
      </c>
      <c r="E269" s="55">
        <v>586996.16760138888</v>
      </c>
      <c r="F269">
        <f>LN(Table3[[#This Row],[Gram]]/E268)</f>
        <v>-7.7804666731555905E-4</v>
      </c>
    </row>
    <row r="270" spans="3:6" x14ac:dyDescent="0.25">
      <c r="C270" s="53">
        <v>46073</v>
      </c>
      <c r="D270" s="55">
        <v>18697755.474179685</v>
      </c>
      <c r="E270" s="55">
        <v>601146.79765252757</v>
      </c>
      <c r="F270">
        <f>LN(Table3[[#This Row],[Gram]]/E269)</f>
        <v>2.3820869352403663E-2</v>
      </c>
    </row>
    <row r="271" spans="3:6" x14ac:dyDescent="0.25">
      <c r="C271" s="53">
        <v>46077</v>
      </c>
      <c r="D271" s="55">
        <v>19062847.965859376</v>
      </c>
      <c r="E271" s="55">
        <v>612884.79382663022</v>
      </c>
      <c r="F271">
        <f>LN(Table3[[#This Row],[Gram]]/E270)</f>
        <v>1.9337819609894082E-2</v>
      </c>
    </row>
    <row r="272" spans="3:6" x14ac:dyDescent="0.25">
      <c r="C272" s="53">
        <v>46078</v>
      </c>
      <c r="D272" s="55">
        <v>19280756.630351562</v>
      </c>
      <c r="E272" s="55">
        <v>619890.72007382673</v>
      </c>
      <c r="F272">
        <f>LN(Table3[[#This Row],[Gram]]/E271)</f>
        <v>1.1366224577451511E-2</v>
      </c>
    </row>
    <row r="273" spans="3:6" x14ac:dyDescent="0.25">
      <c r="C273" s="53">
        <v>46079</v>
      </c>
      <c r="D273" s="55">
        <v>19172151.285</v>
      </c>
      <c r="E273" s="55">
        <v>616398.97713943035</v>
      </c>
      <c r="F273">
        <f>LN(Table3[[#This Row],[Gram]]/E272)</f>
        <v>-5.6487605242539337E-3</v>
      </c>
    </row>
    <row r="274" spans="3:6" x14ac:dyDescent="0.25">
      <c r="C274" s="53">
        <v>46080</v>
      </c>
      <c r="D274" s="55">
        <v>19592302.290000003</v>
      </c>
      <c r="E274" s="55">
        <v>629907.14562173968</v>
      </c>
      <c r="F274">
        <f>LN(Table3[[#This Row],[Gram]]/E273)</f>
        <v>2.1677976586728338E-2</v>
      </c>
    </row>
    <row r="275" spans="3:6" x14ac:dyDescent="0.25">
      <c r="C275" s="53">
        <v>46084</v>
      </c>
      <c r="D275" s="55">
        <v>19248411.233959962</v>
      </c>
      <c r="E275" s="55">
        <v>618850.79143177858</v>
      </c>
      <c r="F275">
        <f>LN(Table3[[#This Row],[Gram]]/E274)</f>
        <v>-1.7708224760724662E-2</v>
      </c>
    </row>
    <row r="276" spans="3:6" x14ac:dyDescent="0.25">
      <c r="C276" s="53">
        <v>46085</v>
      </c>
      <c r="D276" s="55">
        <v>19444677.06972656</v>
      </c>
      <c r="E276" s="55">
        <v>625160.88457759039</v>
      </c>
      <c r="F276">
        <f>LN(Table3[[#This Row],[Gram]]/E275)</f>
        <v>1.014483607471699E-2</v>
      </c>
    </row>
    <row r="277" spans="3:6" x14ac:dyDescent="0.25">
      <c r="C277" s="53">
        <v>46086</v>
      </c>
      <c r="D277" s="55">
        <v>19002016.340302732</v>
      </c>
      <c r="E277" s="55">
        <v>610929.01165000093</v>
      </c>
      <c r="F277">
        <f>LN(Table3[[#This Row],[Gram]]/E276)</f>
        <v>-2.3028263392066022E-2</v>
      </c>
    </row>
    <row r="278" spans="3:6" x14ac:dyDescent="0.25">
      <c r="C278" s="53">
        <v>46087</v>
      </c>
      <c r="D278" s="55">
        <v>19390196.401962891</v>
      </c>
      <c r="E278" s="55">
        <v>623409.29043543106</v>
      </c>
      <c r="F278">
        <f>LN(Table3[[#This Row],[Gram]]/E277)</f>
        <v>2.0222501527330742E-2</v>
      </c>
    </row>
    <row r="279" spans="3:6" x14ac:dyDescent="0.25">
      <c r="C279" s="53">
        <v>46091</v>
      </c>
      <c r="D279" s="55">
        <v>19584390.479414064</v>
      </c>
      <c r="E279" s="55">
        <v>629652.77500469226</v>
      </c>
      <c r="F279">
        <f>LN(Table3[[#This Row],[Gram]]/E278)</f>
        <v>9.9652465897798366E-3</v>
      </c>
    </row>
    <row r="280" spans="3:6" x14ac:dyDescent="0.25">
      <c r="C280" s="53">
        <v>46092</v>
      </c>
      <c r="D280" s="55">
        <v>19173637.337646484</v>
      </c>
      <c r="E280" s="55">
        <v>616446.75484145503</v>
      </c>
      <c r="F280">
        <f>LN(Table3[[#This Row],[Gram]]/E279)</f>
        <v>-2.1196564628115443E-2</v>
      </c>
    </row>
    <row r="281" spans="3:6" x14ac:dyDescent="0.25">
      <c r="C281" s="53">
        <v>46093</v>
      </c>
      <c r="D281" s="55">
        <v>18866404.62571289</v>
      </c>
      <c r="E281" s="55">
        <v>606568.99378248584</v>
      </c>
      <c r="F281">
        <f>LN(Table3[[#This Row],[Gram]]/E280)</f>
        <v>-1.61534728505148E-2</v>
      </c>
    </row>
    <row r="282" spans="3:6" x14ac:dyDescent="0.25">
      <c r="C282" s="53">
        <v>46094</v>
      </c>
      <c r="D282" s="55">
        <v>18696574.149999999</v>
      </c>
      <c r="E282" s="55">
        <v>601108.81719821109</v>
      </c>
      <c r="F282">
        <f>LN(Table3[[#This Row],[Gram]]/E281)</f>
        <v>-9.0425008055695817E-3</v>
      </c>
    </row>
    <row r="283" spans="3:6" x14ac:dyDescent="0.25">
      <c r="C283" s="53">
        <v>46098</v>
      </c>
      <c r="D283" s="55">
        <v>18463191.900000002</v>
      </c>
      <c r="E283" s="55">
        <v>593605.40362484497</v>
      </c>
      <c r="F283">
        <f>LN(Table3[[#This Row],[Gram]]/E282)</f>
        <v>-1.2561183422428398E-2</v>
      </c>
    </row>
    <row r="284" spans="3:6" x14ac:dyDescent="0.25">
      <c r="C284" s="53">
        <v>46099</v>
      </c>
      <c r="D284" s="55">
        <v>18043583.942651365</v>
      </c>
      <c r="E284" s="55">
        <v>580114.69452994934</v>
      </c>
      <c r="F284">
        <f>LN(Table3[[#This Row],[Gram]]/E283)</f>
        <v>-2.2988961773083481E-2</v>
      </c>
    </row>
    <row r="285" spans="3:6" x14ac:dyDescent="0.25">
      <c r="C285" s="53">
        <v>46100</v>
      </c>
      <c r="D285" s="55">
        <v>17041775.642470703</v>
      </c>
      <c r="E285" s="55">
        <v>547905.80976049288</v>
      </c>
      <c r="F285">
        <f>LN(Table3[[#This Row],[Gram]]/E284)</f>
        <v>-5.7122441004384079E-2</v>
      </c>
    </row>
    <row r="286" spans="3:6" x14ac:dyDescent="0.25">
      <c r="C286" s="53">
        <v>46101</v>
      </c>
      <c r="D286" s="55">
        <v>16876110.231406249</v>
      </c>
      <c r="E286" s="55">
        <v>542579.54311417206</v>
      </c>
      <c r="F286">
        <f>LN(Table3[[#This Row],[Gram]]/E285)</f>
        <v>-9.7686942574487737E-3</v>
      </c>
    </row>
    <row r="287" spans="3:6" x14ac:dyDescent="0.25">
      <c r="C287" s="53">
        <v>46106</v>
      </c>
      <c r="D287" s="55">
        <v>16837307.643212892</v>
      </c>
      <c r="E287" s="55">
        <v>541332.01093496056</v>
      </c>
      <c r="F287">
        <f>LN(Table3[[#This Row],[Gram]]/E286)</f>
        <v>-2.3019087220133697E-3</v>
      </c>
    </row>
    <row r="288" spans="3:6" x14ac:dyDescent="0.25">
      <c r="C288" s="53">
        <v>46107</v>
      </c>
      <c r="D288" s="55">
        <v>16138856.73</v>
      </c>
      <c r="E288" s="55">
        <v>518876.29263362614</v>
      </c>
      <c r="F288">
        <f>LN(Table3[[#This Row],[Gram]]/E287)</f>
        <v>-4.2367291602730339E-2</v>
      </c>
    </row>
    <row r="289" spans="3:6" x14ac:dyDescent="0.25">
      <c r="C289" s="53">
        <v>46108</v>
      </c>
      <c r="D289" s="55">
        <v>16509402.68</v>
      </c>
      <c r="E289" s="55">
        <v>530789.6215641076</v>
      </c>
      <c r="F289">
        <f>LN(Table3[[#This Row],[Gram]]/E288)</f>
        <v>2.2700252231843646E-2</v>
      </c>
    </row>
    <row r="290" spans="3:6" x14ac:dyDescent="0.25">
      <c r="C290" s="53">
        <v>46112</v>
      </c>
      <c r="D290" s="55">
        <v>17056506.454394531</v>
      </c>
      <c r="E290" s="55">
        <v>548379.41636140598</v>
      </c>
      <c r="F290">
        <f>LN(Table3[[#This Row],[Gram]]/E289)</f>
        <v>3.260166317101082E-2</v>
      </c>
    </row>
    <row r="291" spans="3:6" x14ac:dyDescent="0.25">
      <c r="C291" s="53">
        <v>46113</v>
      </c>
      <c r="D291" s="55">
        <v>17506991.034863282</v>
      </c>
      <c r="E291" s="55">
        <v>562862.8319411315</v>
      </c>
      <c r="F291">
        <f>LN(Table3[[#This Row],[Gram]]/E290)</f>
        <v>2.6068547698693156E-2</v>
      </c>
    </row>
    <row r="292" spans="3:6" x14ac:dyDescent="0.25">
      <c r="C292" s="53">
        <v>46114</v>
      </c>
      <c r="D292" s="55">
        <v>17098030.215</v>
      </c>
      <c r="E292" s="55">
        <v>549714.43626520876</v>
      </c>
      <c r="F292">
        <f>LN(Table3[[#This Row],[Gram]]/E291)</f>
        <v>-2.3637024093742052E-2</v>
      </c>
    </row>
    <row r="293" spans="3:6" x14ac:dyDescent="0.25">
      <c r="C293" s="53">
        <v>46119</v>
      </c>
      <c r="D293" s="55">
        <v>17065524.168852538</v>
      </c>
      <c r="E293" s="55">
        <v>548669.34261357365</v>
      </c>
      <c r="F293">
        <f>LN(Table3[[#This Row],[Gram]]/E292)</f>
        <v>-1.9029668629731106E-3</v>
      </c>
    </row>
    <row r="294" spans="3:6" x14ac:dyDescent="0.25">
      <c r="C294" s="53">
        <v>46120</v>
      </c>
      <c r="D294" s="55">
        <v>17469563.405000001</v>
      </c>
      <c r="E294" s="55">
        <v>561659.5056987328</v>
      </c>
      <c r="F294">
        <f>LN(Table3[[#This Row],[Gram]]/E293)</f>
        <v>2.3399834800776814E-2</v>
      </c>
    </row>
    <row r="295" spans="3:6" x14ac:dyDescent="0.25">
      <c r="C295" s="53">
        <v>46121</v>
      </c>
      <c r="D295" s="55">
        <v>17446627.797060549</v>
      </c>
      <c r="E295" s="55">
        <v>560922.10878047405</v>
      </c>
      <c r="F295">
        <f>LN(Table3[[#This Row],[Gram]]/E294)</f>
        <v>-1.3137521847971559E-3</v>
      </c>
    </row>
    <row r="296" spans="3:6" x14ac:dyDescent="0.25">
      <c r="C296" s="53">
        <v>46122</v>
      </c>
      <c r="D296" s="55">
        <v>17347268.011245117</v>
      </c>
      <c r="E296" s="55">
        <v>557727.61748760892</v>
      </c>
      <c r="F296">
        <f>LN(Table3[[#This Row],[Gram]]/E295)</f>
        <v>-5.711349855832288E-3</v>
      </c>
    </row>
    <row r="297" spans="3:6" x14ac:dyDescent="0.25">
      <c r="C297" s="53">
        <v>46126</v>
      </c>
      <c r="D297" s="55">
        <v>17409082.5</v>
      </c>
      <c r="E297" s="55">
        <v>559714.99944983644</v>
      </c>
      <c r="F297">
        <f>LN(Table3[[#This Row],[Gram]]/E296)</f>
        <v>3.5570221280878524E-3</v>
      </c>
    </row>
    <row r="298" spans="3:6" x14ac:dyDescent="0.25">
      <c r="C298" s="53">
        <v>46127</v>
      </c>
      <c r="D298" s="55">
        <v>17178336</v>
      </c>
      <c r="E298" s="55">
        <v>552296.32720673853</v>
      </c>
      <c r="F298">
        <f>LN(Table3[[#This Row],[Gram]]/E297)</f>
        <v>-1.3342997738551757E-2</v>
      </c>
    </row>
    <row r="299" spans="3:6" x14ac:dyDescent="0.25">
      <c r="C299" s="53">
        <v>46128</v>
      </c>
      <c r="D299" s="55">
        <v>17242705.074125975</v>
      </c>
      <c r="E299" s="55">
        <v>554365.84099582001</v>
      </c>
      <c r="F299">
        <f>LN(Table3[[#This Row],[Gram]]/E298)</f>
        <v>3.740104723868196E-3</v>
      </c>
    </row>
    <row r="300" spans="3:6" x14ac:dyDescent="0.25">
      <c r="C300" s="53">
        <v>46129</v>
      </c>
      <c r="D300" s="55">
        <v>17560710.113037109</v>
      </c>
      <c r="E300" s="55">
        <v>564589.94040939852</v>
      </c>
      <c r="F300">
        <f>LN(Table3[[#This Row],[Gram]]/E299)</f>
        <v>1.8274866849532747E-2</v>
      </c>
    </row>
    <row r="301" spans="3:6" x14ac:dyDescent="0.25">
      <c r="C301" s="53">
        <v>46133</v>
      </c>
      <c r="D301" s="55">
        <v>16788792.371044923</v>
      </c>
      <c r="E301" s="55">
        <v>539772.20871478016</v>
      </c>
      <c r="F301">
        <f>LN(Table3[[#This Row],[Gram]]/E300)</f>
        <v>-4.4952483614342814E-2</v>
      </c>
    </row>
    <row r="302" spans="3:6" x14ac:dyDescent="0.25">
      <c r="C302" s="53">
        <v>46134</v>
      </c>
      <c r="D302" s="55">
        <v>16923656.625</v>
      </c>
      <c r="E302" s="55">
        <v>544108.19516485697</v>
      </c>
      <c r="F302">
        <f>LN(Table3[[#This Row],[Gram]]/E301)</f>
        <v>8.0009004037690425E-3</v>
      </c>
    </row>
    <row r="303" spans="3:6" x14ac:dyDescent="0.25">
      <c r="C303" s="53">
        <v>46135</v>
      </c>
      <c r="D303" s="55">
        <v>16791937.636523437</v>
      </c>
      <c r="E303" s="55">
        <v>539873.33134807099</v>
      </c>
      <c r="F303">
        <f>LN(Table3[[#This Row],[Gram]]/E302)</f>
        <v>-7.8135747865472355E-3</v>
      </c>
    </row>
    <row r="304" spans="3:6" x14ac:dyDescent="0.25">
      <c r="C304" s="53">
        <v>46136</v>
      </c>
      <c r="D304" s="55">
        <v>16814315.130566407</v>
      </c>
      <c r="E304" s="55">
        <v>540592.7844878874</v>
      </c>
      <c r="F304">
        <f>LN(Table3[[#This Row],[Gram]]/E303)</f>
        <v>1.3317460596009203E-3</v>
      </c>
    </row>
    <row r="305" spans="3:6" x14ac:dyDescent="0.25">
      <c r="C305" s="53">
        <v>46140</v>
      </c>
      <c r="D305" s="55">
        <v>16498040.055</v>
      </c>
      <c r="E305" s="55">
        <v>530424.30468737823</v>
      </c>
      <c r="F305">
        <f>LN(Table3[[#This Row],[Gram]]/E304)</f>
        <v>-1.8989025385184325E-2</v>
      </c>
    </row>
    <row r="306" spans="3:6" x14ac:dyDescent="0.25">
      <c r="C306" s="53">
        <v>46141</v>
      </c>
      <c r="D306" s="55">
        <v>16516166.66171875</v>
      </c>
      <c r="E306" s="55">
        <v>531007.08862614201</v>
      </c>
      <c r="F306">
        <f>LN(Table3[[#This Row],[Gram]]/E305)</f>
        <v>1.0981095923811562E-3</v>
      </c>
    </row>
    <row r="307" spans="3:6" x14ac:dyDescent="0.25">
      <c r="C307" s="53">
        <v>46142</v>
      </c>
      <c r="D307" s="55">
        <v>16713798.049394531</v>
      </c>
      <c r="E307" s="55">
        <v>537361.08528531226</v>
      </c>
      <c r="F307">
        <f>LN(Table3[[#This Row],[Gram]]/E306)</f>
        <v>1.1894909886829655E-2</v>
      </c>
    </row>
    <row r="308" spans="3:6" x14ac:dyDescent="0.25">
      <c r="C308" s="53">
        <v>46143</v>
      </c>
      <c r="D308" s="55">
        <v>16841307.193774413</v>
      </c>
      <c r="E308" s="55">
        <v>541460.59947145241</v>
      </c>
      <c r="F308">
        <f>LN(Table3[[#This Row],[Gram]]/E307)</f>
        <v>7.6000213501171004E-3</v>
      </c>
    </row>
    <row r="309" spans="3:6" x14ac:dyDescent="0.25">
      <c r="C309" s="53">
        <v>46147</v>
      </c>
      <c r="D309" s="55">
        <v>16890992.23986328</v>
      </c>
      <c r="E309" s="55">
        <v>543058.01079650619</v>
      </c>
      <c r="F309">
        <f>LN(Table3[[#This Row],[Gram]]/E308)</f>
        <v>2.9458461387855488E-3</v>
      </c>
    </row>
    <row r="310" spans="3:6" x14ac:dyDescent="0.25">
      <c r="C310" s="53">
        <v>46148</v>
      </c>
      <c r="D310" s="55">
        <v>17432258.363393553</v>
      </c>
      <c r="E310" s="55">
        <v>560460.12076031172</v>
      </c>
      <c r="F310">
        <f>LN(Table3[[#This Row],[Gram]]/E309)</f>
        <v>3.1541942472224326E-2</v>
      </c>
    </row>
    <row r="311" spans="3:6" x14ac:dyDescent="0.25">
      <c r="C311" s="53">
        <v>46149</v>
      </c>
      <c r="D311" s="55">
        <v>17419525.988085937</v>
      </c>
      <c r="E311" s="55">
        <v>560050.76538857992</v>
      </c>
      <c r="F311">
        <f>LN(Table3[[#This Row],[Gram]]/E310)</f>
        <v>-7.3065847909840811E-4</v>
      </c>
    </row>
    <row r="312" spans="3:6" x14ac:dyDescent="0.25">
      <c r="C312" s="53">
        <v>46150</v>
      </c>
      <c r="D312" s="55">
        <v>17603645.743813477</v>
      </c>
      <c r="E312" s="55">
        <v>565970.35299325373</v>
      </c>
      <c r="F312">
        <f>LN(Table3[[#This Row],[Gram]]/E311)</f>
        <v>1.0514264860618953E-2</v>
      </c>
    </row>
    <row r="313" spans="3:6" x14ac:dyDescent="0.25">
      <c r="C313" s="53">
        <v>46154</v>
      </c>
      <c r="D313" s="55">
        <v>17583098.767089844</v>
      </c>
      <c r="E313" s="55">
        <v>565309.75235186063</v>
      </c>
      <c r="F313">
        <f>LN(Table3[[#This Row],[Gram]]/E312)</f>
        <v>-1.1678817887051643E-3</v>
      </c>
    </row>
    <row r="314" spans="3:6" x14ac:dyDescent="0.25">
      <c r="C314" s="53">
        <v>46155</v>
      </c>
      <c r="D314" s="55">
        <v>17734147.076318361</v>
      </c>
      <c r="E314" s="55">
        <v>570166.06826148648</v>
      </c>
      <c r="F314">
        <f>LN(Table3[[#This Row],[Gram]]/E313)</f>
        <v>8.5538510502006625E-3</v>
      </c>
    </row>
    <row r="315" spans="3:6" x14ac:dyDescent="0.25">
      <c r="C315" s="53">
        <v>46156</v>
      </c>
      <c r="D315" s="55">
        <v>17752968.841596678</v>
      </c>
      <c r="E315" s="55">
        <v>570771.20206692384</v>
      </c>
      <c r="F315">
        <f>LN(Table3[[#This Row],[Gram]]/E314)</f>
        <v>1.0607662277626378E-3</v>
      </c>
    </row>
    <row r="316" spans="3:6" x14ac:dyDescent="0.25">
      <c r="C316" s="53">
        <v>46157</v>
      </c>
      <c r="D316" s="55">
        <v>17242335.520800781</v>
      </c>
      <c r="E316" s="55">
        <v>554353.95958051807</v>
      </c>
      <c r="F316">
        <f>LN(Table3[[#This Row],[Gram]]/E315)</f>
        <v>-2.9185033512451344E-2</v>
      </c>
    </row>
    <row r="317" spans="3:6" x14ac:dyDescent="0.25">
      <c r="C317" s="53">
        <v>46162</v>
      </c>
      <c r="D317" s="55">
        <v>17204756.289423827</v>
      </c>
      <c r="E317" s="55">
        <v>553145.75923627382</v>
      </c>
      <c r="F317">
        <f>LN(Table3[[#This Row],[Gram]]/E316)</f>
        <v>-2.1818530569677015E-3</v>
      </c>
    </row>
    <row r="318" spans="3:6" x14ac:dyDescent="0.25">
      <c r="C318" s="53">
        <v>46163</v>
      </c>
      <c r="D318" s="55">
        <v>16935677.773388673</v>
      </c>
      <c r="E318" s="55">
        <v>544494.68406016508</v>
      </c>
      <c r="F318">
        <f>LN(Table3[[#This Row],[Gram]]/E317)</f>
        <v>-1.5763366530118627E-2</v>
      </c>
    </row>
    <row r="319" spans="3:6" x14ac:dyDescent="0.25">
      <c r="C319" s="53">
        <v>46164</v>
      </c>
      <c r="D319" s="55">
        <v>16733893.77</v>
      </c>
      <c r="E319" s="55">
        <v>538007.17770561262</v>
      </c>
      <c r="F319">
        <f>LN(Table3[[#This Row],[Gram]]/E318)</f>
        <v>-1.1986277817419165E-2</v>
      </c>
    </row>
    <row r="320" spans="3:6" x14ac:dyDescent="0.25">
      <c r="C320" s="53">
        <v>46169</v>
      </c>
      <c r="D320" s="55">
        <v>16208780.324999999</v>
      </c>
      <c r="E320" s="55">
        <v>521124.38841563847</v>
      </c>
      <c r="F320">
        <f>LN(Table3[[#This Row],[Gram]]/E319)</f>
        <v>-3.188313891752878E-2</v>
      </c>
    </row>
    <row r="321" spans="3:6" x14ac:dyDescent="0.25">
      <c r="C321" s="53">
        <v>46170</v>
      </c>
      <c r="D321" s="55">
        <v>16339522.191708986</v>
      </c>
      <c r="E321" s="55">
        <v>525327.83703810838</v>
      </c>
      <c r="F321">
        <f>LN(Table3[[#This Row],[Gram]]/E320)</f>
        <v>8.033756588566518E-3</v>
      </c>
    </row>
    <row r="322" spans="3:6" x14ac:dyDescent="0.25">
      <c r="C322" s="53">
        <v>46171</v>
      </c>
      <c r="D322" s="55">
        <v>16630228.09</v>
      </c>
      <c r="E322" s="55">
        <v>534674.24870006822</v>
      </c>
      <c r="F322">
        <f>LN(Table3[[#This Row],[Gram]]/E321)</f>
        <v>1.7635161314207424E-2</v>
      </c>
    </row>
    <row r="323" spans="3:6" x14ac:dyDescent="0.25">
      <c r="C323" s="53">
        <v>46175</v>
      </c>
      <c r="D323" s="55">
        <v>15982273.731679687</v>
      </c>
      <c r="E323" s="55">
        <v>513842.03233767382</v>
      </c>
      <c r="F323">
        <f>LN(Table3[[#This Row],[Gram]]/E322)</f>
        <v>-3.9741792381028873E-2</v>
      </c>
    </row>
    <row r="324" spans="3:6" x14ac:dyDescent="0.25">
      <c r="C324" s="53">
        <v>46176</v>
      </c>
      <c r="D324" s="55">
        <v>15803526.095703125</v>
      </c>
      <c r="E324" s="55">
        <v>508095.16239364998</v>
      </c>
      <c r="F324">
        <f>LN(Table3[[#This Row],[Gram]]/E323)</f>
        <v>-1.1247130555827514E-2</v>
      </c>
    </row>
    <row r="325" spans="3:6" x14ac:dyDescent="0.25">
      <c r="C325" s="53">
        <v>46177</v>
      </c>
      <c r="D325" s="55">
        <v>15991361.332177734</v>
      </c>
      <c r="E325" s="55">
        <v>514134.20547820348</v>
      </c>
      <c r="F325">
        <f>LN(Table3[[#This Row],[Gram]]/E324)</f>
        <v>1.181557394517643E-2</v>
      </c>
    </row>
    <row r="326" spans="3:6" x14ac:dyDescent="0.25">
      <c r="C326" s="53">
        <v>46178</v>
      </c>
      <c r="D326" s="55">
        <v>15463149.720175782</v>
      </c>
      <c r="E326" s="55">
        <v>497151.80780612223</v>
      </c>
      <c r="F326">
        <f>LN(Table3[[#This Row],[Gram]]/E325)</f>
        <v>-3.3588903767749416E-2</v>
      </c>
    </row>
    <row r="327" spans="3:6" x14ac:dyDescent="0.25">
      <c r="C327" s="53">
        <v>46183</v>
      </c>
      <c r="D327" s="55">
        <v>14713354.671503907</v>
      </c>
      <c r="E327" s="55">
        <v>473045.33721786074</v>
      </c>
      <c r="F327">
        <f>LN(Table3[[#This Row],[Gram]]/E326)</f>
        <v>-4.9704193505383569E-2</v>
      </c>
    </row>
    <row r="328" spans="3:6" x14ac:dyDescent="0.25">
      <c r="C328" s="53">
        <v>46184</v>
      </c>
      <c r="D328" s="55">
        <v>14590550.207175294</v>
      </c>
      <c r="E328" s="55">
        <v>469097.08200773539</v>
      </c>
      <c r="F328">
        <f>LN(Table3[[#This Row],[Gram]]/E327)</f>
        <v>-8.3814893439959452E-3</v>
      </c>
    </row>
    <row r="329" spans="3:6" x14ac:dyDescent="0.25">
      <c r="C329" s="53">
        <v>46185</v>
      </c>
      <c r="D329" s="55">
        <v>14809571.1</v>
      </c>
      <c r="E329" s="55">
        <v>476138.76722617709</v>
      </c>
      <c r="F329">
        <f>LN(Table3[[#This Row],[Gram]]/E328)</f>
        <v>1.4899594622067774E-2</v>
      </c>
    </row>
    <row r="330" spans="3:6" x14ac:dyDescent="0.25">
      <c r="C330" s="53">
        <v>46190</v>
      </c>
      <c r="D330" s="55">
        <v>14938255.088325197</v>
      </c>
      <c r="E330" s="55">
        <v>480276.0535222608</v>
      </c>
      <c r="F330">
        <f>LN(Table3[[#This Row],[Gram]]/E329)</f>
        <v>8.6517105618661699E-3</v>
      </c>
    </row>
    <row r="331" spans="3:6" x14ac:dyDescent="0.25">
      <c r="C331" s="53">
        <v>46191</v>
      </c>
      <c r="D331" s="55">
        <v>14530524.16692871</v>
      </c>
      <c r="E331" s="55">
        <v>467167.2000002492</v>
      </c>
      <c r="F331">
        <f>LN(Table3[[#This Row],[Gram]]/E330)</f>
        <v>-2.7673826522825826E-2</v>
      </c>
    </row>
    <row r="332" spans="3:6" x14ac:dyDescent="0.25">
      <c r="C332" s="53">
        <v>46196</v>
      </c>
      <c r="D332" s="55">
        <v>14067017.25336914</v>
      </c>
      <c r="E332" s="55">
        <v>452265.10668958846</v>
      </c>
      <c r="F332">
        <f>LN(Table3[[#This Row],[Gram]]/E331)</f>
        <v>-3.2418696448769109E-2</v>
      </c>
    </row>
    <row r="333" spans="3:6" x14ac:dyDescent="0.25">
      <c r="C333" s="53">
        <v>46197</v>
      </c>
      <c r="D333" s="55">
        <v>13670568.452282714</v>
      </c>
      <c r="E333" s="55">
        <v>439518.98175842239</v>
      </c>
      <c r="F333">
        <f>LN(Table3[[#This Row],[Gram]]/E332)</f>
        <v>-2.8587621490255982E-2</v>
      </c>
    </row>
    <row r="334" spans="3:6" x14ac:dyDescent="0.25">
      <c r="C334" s="53">
        <v>46198</v>
      </c>
      <c r="D334" s="55">
        <v>13817843.76</v>
      </c>
      <c r="E334" s="55">
        <v>444253.99285265757</v>
      </c>
      <c r="F334">
        <f>LN(Table3[[#This Row],[Gram]]/E333)</f>
        <v>1.0715549213480984E-2</v>
      </c>
    </row>
    <row r="335" spans="3:6" x14ac:dyDescent="0.25">
      <c r="C335" s="53">
        <v>46199</v>
      </c>
      <c r="D335" s="55">
        <v>14005072.80933838</v>
      </c>
      <c r="E335" s="55">
        <v>450273.54656822095</v>
      </c>
      <c r="F335">
        <f>LN(Table3[[#This Row],[Gram]]/E334)</f>
        <v>1.345882449707011E-2</v>
      </c>
    </row>
    <row r="336" spans="3:6" x14ac:dyDescent="0.25">
      <c r="C336" s="53">
        <v>46204</v>
      </c>
      <c r="D336" s="55">
        <v>13998328.857009277</v>
      </c>
      <c r="E336" s="55">
        <v>450056.72346601705</v>
      </c>
      <c r="F336">
        <f>LN(Table3[[#This Row],[Gram]]/E335)</f>
        <v>-4.8165237493872444E-4</v>
      </c>
    </row>
    <row r="337" spans="3:6" x14ac:dyDescent="0.25">
      <c r="C337" s="53">
        <v>46205</v>
      </c>
      <c r="D337" s="55">
        <v>13996958.209716797</v>
      </c>
      <c r="E337" s="55">
        <v>450012.65613228158</v>
      </c>
      <c r="F337">
        <f>LN(Table3[[#This Row],[Gram]]/E336)</f>
        <v>-9.791985988973992E-5</v>
      </c>
    </row>
    <row r="338" spans="3:6" x14ac:dyDescent="0.25">
      <c r="C338" s="53">
        <v>46210</v>
      </c>
      <c r="D338" s="55">
        <v>13889573.149570312</v>
      </c>
      <c r="E338" s="55">
        <v>446560.14627825504</v>
      </c>
      <c r="F338">
        <f>LN(Table3[[#This Row],[Gram]]/E337)</f>
        <v>-7.7016097524618783E-3</v>
      </c>
    </row>
    <row r="339" spans="3:6" x14ac:dyDescent="0.25">
      <c r="C339" s="53">
        <v>46211</v>
      </c>
      <c r="D339" s="55">
        <v>13578486.624267578</v>
      </c>
      <c r="E339" s="55">
        <v>436558.48224233178</v>
      </c>
      <c r="F339">
        <f>LN(Table3[[#This Row],[Gram]]/E338)</f>
        <v>-2.2651751113053724E-2</v>
      </c>
    </row>
    <row r="340" spans="3:6" x14ac:dyDescent="0.25">
      <c r="C340" s="53">
        <v>46212</v>
      </c>
      <c r="D340" s="55">
        <v>13794758.616137696</v>
      </c>
      <c r="E340" s="55">
        <v>443511.78824284032</v>
      </c>
      <c r="F340">
        <f>LN(Table3[[#This Row],[Gram]]/E339)</f>
        <v>1.5802035183583446E-2</v>
      </c>
    </row>
    <row r="341" spans="3:6" x14ac:dyDescent="0.25">
      <c r="C341" s="53">
        <v>46213</v>
      </c>
      <c r="D341" s="55">
        <v>13565610.380791016</v>
      </c>
      <c r="E341" s="55">
        <v>436144.5014015609</v>
      </c>
      <c r="F341">
        <f>LN(Table3[[#This Row],[Gram]]/E340)</f>
        <v>-1.6750767752582184E-2</v>
      </c>
    </row>
    <row r="342" spans="3:6" x14ac:dyDescent="0.25">
      <c r="C342" s="53">
        <v>46218</v>
      </c>
      <c r="D342" s="55">
        <v>13151532.84</v>
      </c>
      <c r="E342" s="55">
        <v>422831.59932782821</v>
      </c>
      <c r="F342">
        <f>LN(Table3[[#This Row],[Gram]]/E341)</f>
        <v>-3.0999624229545678E-2</v>
      </c>
    </row>
    <row r="343" spans="3:6" x14ac:dyDescent="0.25">
      <c r="C343" s="53">
        <v>46219</v>
      </c>
      <c r="D343" s="55">
        <v>12889072.011811523</v>
      </c>
      <c r="E343" s="55">
        <v>414393.28775654826</v>
      </c>
      <c r="F343">
        <f>LN(Table3[[#This Row],[Gram]]/E342)</f>
        <v>-2.0158496127800463E-2</v>
      </c>
    </row>
    <row r="344" spans="3:6" x14ac:dyDescent="0.25">
      <c r="C344" s="53">
        <v>46220</v>
      </c>
      <c r="D344" s="55">
        <v>12926551.74970459</v>
      </c>
      <c r="E344" s="55">
        <v>415598.2893110069</v>
      </c>
      <c r="F344">
        <f>LN(Table3[[#This Row],[Gram]]/E343)</f>
        <v>2.9036497101528748E-3</v>
      </c>
    </row>
    <row r="345" spans="3:6" x14ac:dyDescent="0.25">
      <c r="C345" s="53">
        <v>46225</v>
      </c>
      <c r="D345" s="55">
        <v>13428449.794770507</v>
      </c>
      <c r="E345" s="55">
        <v>431734.68616121099</v>
      </c>
      <c r="F345">
        <f>LN(Table3[[#This Row],[Gram]]/E344)</f>
        <v>3.8092104145098275E-2</v>
      </c>
    </row>
    <row r="346" spans="3:6" x14ac:dyDescent="0.25">
      <c r="C346" s="53">
        <v>46226</v>
      </c>
      <c r="D346" s="55">
        <v>12976879.989169922</v>
      </c>
      <c r="E346" s="55">
        <v>417216.37978330196</v>
      </c>
      <c r="F346">
        <f>LN(Table3[[#This Row],[Gram]]/E345)</f>
        <v>-3.4206263589194895E-2</v>
      </c>
    </row>
    <row r="347" spans="3:6" x14ac:dyDescent="0.25">
      <c r="C347" s="53">
        <v>46227</v>
      </c>
      <c r="D347" s="55">
        <v>13094865.670385743</v>
      </c>
      <c r="E347" s="55">
        <v>421009.70751879876</v>
      </c>
      <c r="F347">
        <f>LN(Table3[[#This Row],[Gram]]/E346)</f>
        <v>9.0509080744996702E-3</v>
      </c>
    </row>
    <row r="348" spans="3:6" x14ac:dyDescent="0.25">
      <c r="C348" s="53">
        <v>46231</v>
      </c>
      <c r="D348" s="55">
        <v>12939570.696533203</v>
      </c>
      <c r="E348" s="55">
        <v>416016.85817108408</v>
      </c>
      <c r="F348">
        <f>LN(Table3[[#This Row],[Gram]]/E347)</f>
        <v>-1.193010776608E-2</v>
      </c>
    </row>
    <row r="349" spans="3:6" x14ac:dyDescent="0.25">
      <c r="C349" s="53">
        <v>46232</v>
      </c>
      <c r="D349" s="55">
        <v>12934723.532463379</v>
      </c>
      <c r="E349" s="55">
        <v>415861.01822749857</v>
      </c>
      <c r="F349">
        <f>LN(Table3[[#This Row],[Gram]]/E348)</f>
        <v>-3.746702486744973E-4</v>
      </c>
    </row>
    <row r="350" spans="3:6" x14ac:dyDescent="0.25">
      <c r="C350" s="53">
        <v>46233</v>
      </c>
      <c r="D350" s="55">
        <v>13145658.931103515</v>
      </c>
      <c r="E350" s="55">
        <v>422642.74877153011</v>
      </c>
      <c r="F350">
        <f>LN(Table3[[#This Row],[Gram]]/E349)</f>
        <v>1.6176143006702861E-2</v>
      </c>
    </row>
    <row r="351" spans="3:6" x14ac:dyDescent="0.25">
      <c r="C351" s="53">
        <v>46234</v>
      </c>
      <c r="D351" s="55">
        <v>12683482.127900392</v>
      </c>
      <c r="E351" s="55">
        <v>407783.41950184782</v>
      </c>
      <c r="F351">
        <f>LN(Table3[[#This Row],[Gram]]/E350)</f>
        <v>-3.5791057740594871E-2</v>
      </c>
    </row>
    <row r="352" spans="3:6" x14ac:dyDescent="0.25">
      <c r="C352" s="53">
        <v>46238</v>
      </c>
      <c r="D352" s="55">
        <v>13229943.660527345</v>
      </c>
      <c r="E352" s="55">
        <v>425352.56574684102</v>
      </c>
      <c r="F352">
        <f>LN(Table3[[#This Row],[Gram]]/E351)</f>
        <v>4.2182192580167803E-2</v>
      </c>
    </row>
    <row r="353" spans="3:6" x14ac:dyDescent="0.25">
      <c r="C353" s="53">
        <v>46239</v>
      </c>
      <c r="D353" s="55">
        <v>13605707.932119142</v>
      </c>
      <c r="E353" s="55">
        <v>437433.66761233401</v>
      </c>
      <c r="F353">
        <f>LN(Table3[[#This Row],[Gram]]/E352)</f>
        <v>2.8006685929080909E-2</v>
      </c>
    </row>
    <row r="354" spans="3:6" x14ac:dyDescent="0.25">
      <c r="C354" s="53">
        <v>46240</v>
      </c>
      <c r="D354" s="55">
        <v>13487014.800000001</v>
      </c>
      <c r="E354" s="55">
        <v>433617.59480213484</v>
      </c>
      <c r="F354">
        <f>LN(Table3[[#This Row],[Gram]]/E353)</f>
        <v>-8.7620496962110637E-3</v>
      </c>
    </row>
    <row r="355" spans="3:6" x14ac:dyDescent="0.25">
      <c r="C355" s="53">
        <v>46241</v>
      </c>
      <c r="D355" s="55">
        <v>13705457.017685546</v>
      </c>
      <c r="E355" s="55">
        <v>440640.67518283182</v>
      </c>
      <c r="F355">
        <f>LN(Table3[[#This Row],[Gram]]/E354)</f>
        <v>1.6066720096422047E-2</v>
      </c>
    </row>
    <row r="356" spans="3:6" x14ac:dyDescent="0.25">
      <c r="C356" s="53">
        <v>46245</v>
      </c>
      <c r="D356" s="55">
        <v>13698935.01</v>
      </c>
      <c r="E356" s="55">
        <v>440430.98776661523</v>
      </c>
      <c r="F356">
        <f>LN(Table3[[#This Row],[Gram]]/E355)</f>
        <v>-4.7598266745649693E-4</v>
      </c>
    </row>
    <row r="357" spans="3:6" x14ac:dyDescent="0.25">
      <c r="C357" s="53">
        <v>46246</v>
      </c>
      <c r="D357" s="55">
        <v>13760485.218208009</v>
      </c>
      <c r="E357" s="55">
        <v>442409.87291195721</v>
      </c>
      <c r="F357">
        <f>LN(Table3[[#This Row],[Gram]]/E356)</f>
        <v>4.4830015185469514E-3</v>
      </c>
    </row>
    <row r="358" spans="3:6" x14ac:dyDescent="0.25">
      <c r="C358" s="53">
        <v>46247</v>
      </c>
      <c r="D358" s="55">
        <v>13628744.913007813</v>
      </c>
      <c r="E358" s="55">
        <v>438174.32374659198</v>
      </c>
      <c r="F358">
        <f>LN(Table3[[#This Row],[Gram]]/E357)</f>
        <v>-9.6199360507472319E-3</v>
      </c>
    </row>
    <row r="359" spans="3:6" x14ac:dyDescent="0.25">
      <c r="C359" s="53">
        <v>46248</v>
      </c>
      <c r="D359" s="55">
        <v>13699744.498579102</v>
      </c>
      <c r="E359" s="55">
        <v>440457.0134287721</v>
      </c>
      <c r="F359">
        <f>LN(Table3[[#This Row],[Gram]]/E358)</f>
        <v>5.1960241375284414E-3</v>
      </c>
    </row>
    <row r="360" spans="3:6" x14ac:dyDescent="0.25">
      <c r="C360" s="53">
        <v>46253</v>
      </c>
      <c r="D360" s="55">
        <v>13911707.523383789</v>
      </c>
      <c r="E360" s="55">
        <v>447271.78292118741</v>
      </c>
      <c r="F360">
        <f>LN(Table3[[#This Row],[Gram]]/E359)</f>
        <v>1.5353570576029287E-2</v>
      </c>
    </row>
    <row r="361" spans="3:6" x14ac:dyDescent="0.25">
      <c r="C361" s="53">
        <v>46254</v>
      </c>
      <c r="D361" s="55">
        <v>13790431.127617188</v>
      </c>
      <c r="E361" s="55">
        <v>443372.65625613881</v>
      </c>
      <c r="F361">
        <f>LN(Table3[[#This Row],[Gram]]/E360)</f>
        <v>-8.7557983943417142E-3</v>
      </c>
    </row>
    <row r="362" spans="3:6" x14ac:dyDescent="0.25">
      <c r="C362" s="53">
        <v>46255</v>
      </c>
      <c r="D362" s="55">
        <v>14163433.635117188</v>
      </c>
      <c r="E362" s="55">
        <v>455364.96534423408</v>
      </c>
      <c r="F362">
        <f>LN(Table3[[#This Row],[Gram]]/E361)</f>
        <v>2.6688592122651386E-2</v>
      </c>
    </row>
    <row r="363" spans="3:6" x14ac:dyDescent="0.25">
      <c r="C363" s="53">
        <v>46259</v>
      </c>
      <c r="D363" s="55">
        <v>14176399.329487305</v>
      </c>
      <c r="E363" s="55">
        <v>455781.822098014</v>
      </c>
      <c r="F363">
        <f>LN(Table3[[#This Row],[Gram]]/E362)</f>
        <v>9.1501564535985782E-4</v>
      </c>
    </row>
    <row r="364" spans="3:6" x14ac:dyDescent="0.25">
      <c r="C364" s="53">
        <v>46260</v>
      </c>
      <c r="D364" s="55">
        <v>14170135.595888672</v>
      </c>
      <c r="E364" s="55">
        <v>455580.43838651094</v>
      </c>
      <c r="F364">
        <f>LN(Table3[[#This Row],[Gram]]/E363)</f>
        <v>-4.4193999140083304E-4</v>
      </c>
    </row>
    <row r="365" spans="3:6" x14ac:dyDescent="0.25">
      <c r="C365" s="53">
        <v>46261</v>
      </c>
      <c r="D365" s="55">
        <v>14374151.537031248</v>
      </c>
      <c r="E365" s="55">
        <v>462139.70320614602</v>
      </c>
      <c r="F365">
        <f>LN(Table3[[#This Row],[Gram]]/E364)</f>
        <v>1.4294938550871503E-2</v>
      </c>
    </row>
    <row r="366" spans="3:6" x14ac:dyDescent="0.25">
      <c r="C366" s="53">
        <v>46262</v>
      </c>
      <c r="D366" s="55">
        <v>14080400.575058594</v>
      </c>
      <c r="E366" s="55">
        <v>452695.39047347254</v>
      </c>
      <c r="F366">
        <f>LN(Table3[[#This Row],[Gram]]/E365)</f>
        <v>-2.0647761172245056E-2</v>
      </c>
    </row>
    <row r="367" spans="3:6" x14ac:dyDescent="0.25">
      <c r="C367" s="53">
        <v>46266</v>
      </c>
      <c r="D367" s="55">
        <v>13974341.559999999</v>
      </c>
      <c r="E367" s="55">
        <v>449285.51395900536</v>
      </c>
      <c r="F367">
        <f>LN(Table3[[#This Row],[Gram]]/E366)</f>
        <v>-7.5608978906599291E-3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7889B83655E4098948DD1DE496DEE" ma:contentTypeVersion="5" ma:contentTypeDescription="Create a new document." ma:contentTypeScope="" ma:versionID="7f23e5c9702276f135ce75d4bc01bf79">
  <xsd:schema xmlns:xsd="http://www.w3.org/2001/XMLSchema" xmlns:xs="http://www.w3.org/2001/XMLSchema" xmlns:p="http://schemas.microsoft.com/office/2006/metadata/properties" xmlns:ns3="3e88227a-62fb-41ee-aeca-be49d5861745" targetNamespace="http://schemas.microsoft.com/office/2006/metadata/properties" ma:root="true" ma:fieldsID="0b0461f084014906b483e8657dc8a551" ns3:_="">
    <xsd:import namespace="3e88227a-62fb-41ee-aeca-be49d586174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8227a-62fb-41ee-aeca-be49d586174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88227a-62fb-41ee-aeca-be49d5861745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5C9AE316-49F1-4A20-B9EE-D3FA89F563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88227a-62fb-41ee-aeca-be49d58617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6F3471-2F77-4DF8-84F3-0756C25320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B26EB2-507D-4D53-89C9-AE6F39864652}">
  <ds:schemaRefs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3e88227a-62fb-41ee-aeca-be49d5861745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0FE91B17-E992-4F75-8782-C052A25E5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Puja Máxima</vt:lpstr>
      <vt:lpstr>COP oro historial</vt:lpstr>
      <vt:lpstr>Montecarlo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 Rodriguez, Mario</dc:creator>
  <cp:lastModifiedBy>Mario Haya</cp:lastModifiedBy>
  <dcterms:created xsi:type="dcterms:W3CDTF">2026-09-02T00:14:07Z</dcterms:created>
  <dcterms:modified xsi:type="dcterms:W3CDTF">2026-09-03T13:58:41Z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0x0101005B27889B83655E4098948DD1DE496DEE</vt:lpwstr>
  </property>
</Properties>
</file>